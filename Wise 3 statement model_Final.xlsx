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hemang\Desktop\Wise\Final\"/>
    </mc:Choice>
  </mc:AlternateContent>
  <xr:revisionPtr revIDLastSave="0" documentId="13_ncr:1_{2172621A-5A2B-4B2C-BE8C-005F12469767}" xr6:coauthVersionLast="47" xr6:coauthVersionMax="47" xr10:uidLastSave="{00000000-0000-0000-0000-000000000000}"/>
  <bookViews>
    <workbookView xWindow="-120" yWindow="-120" windowWidth="29040" windowHeight="15720" xr2:uid="{FE3FE6C0-5405-44AC-9D16-D32715722785}"/>
  </bookViews>
  <sheets>
    <sheet name="Valuation" sheetId="7" r:id="rId1"/>
    <sheet name="3 Statement Model" sheetId="1" r:id="rId2"/>
    <sheet name="Assumptions" sheetId="2" r:id="rId3"/>
  </sheets>
  <externalReferences>
    <externalReference r:id="rId4"/>
    <externalReference r:id="rId5"/>
  </externalReferences>
  <definedNames>
    <definedName name="Adj_closing_price">OFFSET(#REF!,1,0,COUNT(#REF!),1)</definedName>
    <definedName name="cmdOK2_click">[1]!cmdOK2_click</definedName>
    <definedName name="Date">OFFSET(#REF!,1,0,COUNT(#REF!),1)</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42347.1874074074</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PAGE1">[2]GROMM!#REF!</definedName>
    <definedName name="PAGE2">#REF!</definedName>
    <definedName name="PE_band_1">OFFSET(#REF!,1,0,COUNT(#REF!),1)</definedName>
    <definedName name="PE_band_2">OFFSET(#REF!,1,0,COUNT(#REF!),1)</definedName>
    <definedName name="PE_band_3">OFFSET(#REF!,1,0,COUNT(#REF!),1)</definedName>
    <definedName name="PE_band_4">OFFSET(#REF!,1,0,COUNT(#REF!),1)</definedName>
    <definedName name="PE_band_5">OFFSET(#REF!,1,0,COUNT(#REF!),1)</definedName>
    <definedName name="Price">[1]Template!#REF!</definedName>
    <definedName name="Print_Area_MI">#REF!</definedName>
    <definedName name="startCompany">[1]Sheet1!#REF!</definedName>
    <definedName name="Units">#REF!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5" i="7" l="1"/>
  <c r="G35" i="7"/>
  <c r="F35" i="7"/>
  <c r="E35" i="7"/>
  <c r="D35" i="7"/>
  <c r="C35" i="7"/>
  <c r="C23" i="2"/>
  <c r="C34" i="2" s="1"/>
  <c r="B23" i="2"/>
  <c r="K32" i="1"/>
  <c r="K26" i="1"/>
  <c r="T12" i="1"/>
  <c r="M14" i="2"/>
  <c r="M13" i="2"/>
  <c r="M25" i="2"/>
  <c r="S31" i="1" s="1"/>
  <c r="C9" i="1" s="1"/>
  <c r="M23" i="2"/>
  <c r="B81" i="2"/>
  <c r="B77" i="2"/>
  <c r="B21" i="2"/>
  <c r="C21" i="2"/>
  <c r="G8" i="1"/>
  <c r="F8" i="1"/>
  <c r="E8" i="1"/>
  <c r="D8" i="1"/>
  <c r="C8" i="1"/>
  <c r="C31" i="2" s="1"/>
  <c r="AA39" i="2"/>
  <c r="Z39" i="2"/>
  <c r="Y39" i="2"/>
  <c r="X39" i="2"/>
  <c r="W39" i="2"/>
  <c r="X38" i="2"/>
  <c r="Y38" i="2"/>
  <c r="Z38" i="2"/>
  <c r="AA38" i="2"/>
  <c r="W38" i="2"/>
  <c r="A71" i="2"/>
  <c r="B13" i="7"/>
  <c r="D31" i="2" l="1"/>
  <c r="C19" i="1"/>
  <c r="C11" i="1"/>
  <c r="G8" i="2"/>
  <c r="F8" i="2"/>
  <c r="E8" i="2"/>
  <c r="D8" i="2"/>
  <c r="W33" i="2"/>
  <c r="W34" i="2" s="1"/>
  <c r="W35" i="2" s="1"/>
  <c r="W36" i="2" s="1"/>
  <c r="W37" i="2" s="1"/>
  <c r="V33" i="2"/>
  <c r="X33" i="2" s="1"/>
  <c r="V34" i="2" l="1"/>
  <c r="V35" i="2" s="1"/>
  <c r="V36" i="2" s="1"/>
  <c r="V37" i="2" s="1"/>
  <c r="N18" i="1"/>
  <c r="O18" i="1"/>
  <c r="M18" i="1"/>
  <c r="K18" i="1"/>
  <c r="B14" i="7"/>
  <c r="J29" i="2"/>
  <c r="J27" i="2"/>
  <c r="J30" i="2" s="1"/>
  <c r="J31" i="2" s="1"/>
  <c r="B50" i="7"/>
  <c r="B23" i="7"/>
  <c r="B5" i="7"/>
  <c r="B15" i="7"/>
  <c r="X34" i="2" l="1"/>
  <c r="X35" i="2"/>
  <c r="X37" i="2"/>
  <c r="X36" i="2"/>
  <c r="B37" i="7"/>
  <c r="B105" i="2" l="1"/>
  <c r="B104" i="2"/>
  <c r="S35" i="1"/>
  <c r="B106" i="2" l="1"/>
  <c r="C108" i="2" s="1"/>
  <c r="K42" i="1" s="1"/>
  <c r="S17" i="1"/>
  <c r="M36" i="2"/>
  <c r="N36" i="2"/>
  <c r="O36" i="2"/>
  <c r="P36" i="2"/>
  <c r="M22" i="2"/>
  <c r="N22" i="2"/>
  <c r="O22" i="2"/>
  <c r="O38" i="1"/>
  <c r="N38" i="1"/>
  <c r="M38" i="1"/>
  <c r="L38" i="1"/>
  <c r="K39" i="1"/>
  <c r="L39" i="1" s="1"/>
  <c r="M39" i="1" s="1"/>
  <c r="N39" i="1" s="1"/>
  <c r="O39" i="1" s="1"/>
  <c r="K38" i="1"/>
  <c r="S42" i="1"/>
  <c r="T42" i="1" s="1"/>
  <c r="U42" i="1" s="1"/>
  <c r="V42" i="1" s="1"/>
  <c r="W42" i="1" s="1"/>
  <c r="S43" i="1"/>
  <c r="T43" i="1" s="1"/>
  <c r="U43" i="1" s="1"/>
  <c r="V43" i="1" s="1"/>
  <c r="W43" i="1" s="1"/>
  <c r="J40" i="1"/>
  <c r="J32" i="1"/>
  <c r="B39" i="7" l="1"/>
  <c r="J44" i="1"/>
  <c r="T17" i="1"/>
  <c r="S44" i="1"/>
  <c r="T44" i="1" s="1"/>
  <c r="U44" i="1" s="1"/>
  <c r="V44" i="1" s="1"/>
  <c r="W44" i="1" s="1"/>
  <c r="S45" i="1"/>
  <c r="T45" i="1" s="1"/>
  <c r="U45" i="1" s="1"/>
  <c r="V45" i="1" s="1"/>
  <c r="W45" i="1" s="1"/>
  <c r="S41" i="1"/>
  <c r="T41" i="1" s="1"/>
  <c r="U41" i="1" s="1"/>
  <c r="V41" i="1" s="1"/>
  <c r="W41" i="1" s="1"/>
  <c r="S40" i="1"/>
  <c r="D69" i="2"/>
  <c r="S26" i="1"/>
  <c r="T26" i="1"/>
  <c r="U26" i="1" s="1"/>
  <c r="V26" i="1" s="1"/>
  <c r="W26" i="1" s="1"/>
  <c r="T24" i="1"/>
  <c r="S25" i="1"/>
  <c r="T25" i="1" s="1"/>
  <c r="U25" i="1" s="1"/>
  <c r="V25" i="1" s="1"/>
  <c r="W25" i="1" s="1"/>
  <c r="S18" i="1"/>
  <c r="M30" i="2"/>
  <c r="N30" i="2"/>
  <c r="O30" i="2"/>
  <c r="P29" i="2"/>
  <c r="S34" i="1"/>
  <c r="T34" i="1" s="1"/>
  <c r="U34" i="1" s="1"/>
  <c r="V34" i="1" s="1"/>
  <c r="W34" i="1" s="1"/>
  <c r="S33" i="1"/>
  <c r="T33" i="1" s="1"/>
  <c r="U33" i="1" s="1"/>
  <c r="V33" i="1" s="1"/>
  <c r="W33" i="1" s="1"/>
  <c r="S32" i="1"/>
  <c r="T32" i="1" s="1"/>
  <c r="U32" i="1" s="1"/>
  <c r="V32" i="1" s="1"/>
  <c r="W32" i="1" s="1"/>
  <c r="S19" i="1"/>
  <c r="T19" i="1" s="1"/>
  <c r="U19" i="1" s="1"/>
  <c r="V19" i="1" s="1"/>
  <c r="W19" i="1" s="1"/>
  <c r="S16" i="1"/>
  <c r="T16" i="1" s="1"/>
  <c r="U16" i="1" s="1"/>
  <c r="V16" i="1" s="1"/>
  <c r="W16" i="1" s="1"/>
  <c r="M24" i="2"/>
  <c r="N24" i="2"/>
  <c r="O24" i="2"/>
  <c r="M21" i="2"/>
  <c r="O21" i="2"/>
  <c r="P21" i="2"/>
  <c r="N21" i="2"/>
  <c r="S12" i="1"/>
  <c r="K22" i="1" s="1"/>
  <c r="B18" i="2"/>
  <c r="C18" i="2" s="1"/>
  <c r="B17" i="2"/>
  <c r="C17" i="2" s="1"/>
  <c r="D17" i="2" s="1"/>
  <c r="G17" i="2" s="1"/>
  <c r="B26" i="2"/>
  <c r="C26" i="2" s="1"/>
  <c r="D26" i="2" s="1"/>
  <c r="G26" i="2" s="1"/>
  <c r="B36" i="1"/>
  <c r="D35" i="1"/>
  <c r="E35" i="1"/>
  <c r="F35" i="1"/>
  <c r="G35" i="1" s="1"/>
  <c r="C35" i="1"/>
  <c r="C34" i="1"/>
  <c r="D34" i="1" s="1"/>
  <c r="E34" i="1" s="1"/>
  <c r="F34" i="1" s="1"/>
  <c r="G34" i="1" s="1"/>
  <c r="B93" i="2"/>
  <c r="C92" i="2"/>
  <c r="B92" i="2"/>
  <c r="C84" i="2"/>
  <c r="C94" i="2" s="1"/>
  <c r="C77" i="2"/>
  <c r="D73" i="2"/>
  <c r="D81" i="2"/>
  <c r="Q67" i="2"/>
  <c r="C67" i="2"/>
  <c r="B67" i="2"/>
  <c r="D21" i="1"/>
  <c r="E21" i="1" s="1"/>
  <c r="F21" i="1" s="1"/>
  <c r="G21" i="1" s="1"/>
  <c r="G92" i="2" s="1"/>
  <c r="C22" i="1"/>
  <c r="D22" i="1" s="1"/>
  <c r="E22" i="1" s="1"/>
  <c r="F22" i="1" s="1"/>
  <c r="G22" i="1" s="1"/>
  <c r="C21" i="1"/>
  <c r="B58" i="2"/>
  <c r="B51" i="2"/>
  <c r="B24" i="2" s="1"/>
  <c r="C37" i="2"/>
  <c r="D37" i="2" s="1"/>
  <c r="E37" i="2" s="1"/>
  <c r="F37" i="2" s="1"/>
  <c r="G37" i="2" s="1"/>
  <c r="B43" i="2"/>
  <c r="B33" i="2"/>
  <c r="C36" i="2"/>
  <c r="T31" i="1" l="1"/>
  <c r="D9" i="1" s="1"/>
  <c r="D77" i="2"/>
  <c r="T35" i="1"/>
  <c r="E69" i="2"/>
  <c r="U35" i="1" s="1"/>
  <c r="T27" i="1"/>
  <c r="D108" i="2"/>
  <c r="L42" i="1" s="1"/>
  <c r="D36" i="2"/>
  <c r="K13" i="1"/>
  <c r="F92" i="2"/>
  <c r="K24" i="1"/>
  <c r="T18" i="1"/>
  <c r="L32" i="1" s="1"/>
  <c r="D92" i="2"/>
  <c r="L22" i="1"/>
  <c r="U17" i="1"/>
  <c r="E92" i="2"/>
  <c r="U24" i="1"/>
  <c r="D18" i="2"/>
  <c r="E26" i="2"/>
  <c r="F26" i="2"/>
  <c r="F17" i="2"/>
  <c r="E17" i="2"/>
  <c r="C81" i="2"/>
  <c r="C98" i="2" s="1"/>
  <c r="G81" i="2"/>
  <c r="F81" i="2"/>
  <c r="D98" i="2"/>
  <c r="E81" i="2"/>
  <c r="E73" i="2"/>
  <c r="K25" i="1" l="1"/>
  <c r="K23" i="1"/>
  <c r="K15" i="1"/>
  <c r="F73" i="2"/>
  <c r="G73" i="2" s="1"/>
  <c r="U27" i="1"/>
  <c r="E108" i="2"/>
  <c r="M42" i="1" s="1"/>
  <c r="L23" i="1"/>
  <c r="D25" i="1"/>
  <c r="L43" i="1"/>
  <c r="L25" i="1"/>
  <c r="B10" i="7"/>
  <c r="B98" i="2"/>
  <c r="C25" i="1"/>
  <c r="S27" i="1"/>
  <c r="K40" i="1" s="1"/>
  <c r="K43" i="1"/>
  <c r="L15" i="1"/>
  <c r="E36" i="2"/>
  <c r="L13" i="1"/>
  <c r="L26" i="1"/>
  <c r="U31" i="1"/>
  <c r="E9" i="1" s="1"/>
  <c r="M40" i="1"/>
  <c r="U12" i="1"/>
  <c r="M22" i="1" s="1"/>
  <c r="M24" i="1" s="1"/>
  <c r="L24" i="1"/>
  <c r="V17" i="1"/>
  <c r="U18" i="1"/>
  <c r="V24" i="1"/>
  <c r="W24" i="1" s="1"/>
  <c r="E18" i="2"/>
  <c r="F18" i="2" s="1"/>
  <c r="F69" i="2"/>
  <c r="V35" i="1" s="1"/>
  <c r="E77" i="2"/>
  <c r="E98" i="2"/>
  <c r="M23" i="1" l="1"/>
  <c r="M15" i="1"/>
  <c r="M25" i="1"/>
  <c r="M26" i="1"/>
  <c r="V12" i="1"/>
  <c r="W12" i="1" s="1"/>
  <c r="C39" i="7"/>
  <c r="K44" i="1"/>
  <c r="E25" i="1"/>
  <c r="M43" i="1"/>
  <c r="F36" i="2"/>
  <c r="M13" i="1"/>
  <c r="W27" i="1"/>
  <c r="G108" i="2"/>
  <c r="O42" i="1" s="1"/>
  <c r="L40" i="1"/>
  <c r="E39" i="7"/>
  <c r="V31" i="1"/>
  <c r="F9" i="1" s="1"/>
  <c r="V27" i="1"/>
  <c r="F108" i="2"/>
  <c r="N42" i="1" s="1"/>
  <c r="V18" i="1"/>
  <c r="M32" i="1"/>
  <c r="W17" i="1"/>
  <c r="G18" i="2"/>
  <c r="G69" i="2"/>
  <c r="W35" i="1" s="1"/>
  <c r="F77" i="2"/>
  <c r="F98" i="2"/>
  <c r="N22" i="1" l="1"/>
  <c r="O22" i="1" s="1"/>
  <c r="O24" i="1" s="1"/>
  <c r="N26" i="1"/>
  <c r="O40" i="1"/>
  <c r="G39" i="7"/>
  <c r="W31" i="1"/>
  <c r="G9" i="1" s="1"/>
  <c r="N40" i="1"/>
  <c r="F25" i="1"/>
  <c r="N43" i="1"/>
  <c r="N25" i="1"/>
  <c r="G36" i="2"/>
  <c r="O13" i="1" s="1"/>
  <c r="N13" i="1"/>
  <c r="N15" i="1"/>
  <c r="N23" i="1"/>
  <c r="D39" i="7"/>
  <c r="W18" i="1"/>
  <c r="O32" i="1" s="1"/>
  <c r="N32" i="1"/>
  <c r="N24" i="1"/>
  <c r="G98" i="2"/>
  <c r="G77" i="2"/>
  <c r="O15" i="1" l="1"/>
  <c r="F39" i="7"/>
  <c r="O25" i="1"/>
  <c r="O23" i="1"/>
  <c r="G25" i="1"/>
  <c r="O43" i="1"/>
  <c r="O26" i="1"/>
  <c r="B19" i="1"/>
  <c r="M11" i="2"/>
  <c r="Z6" i="2"/>
  <c r="Y6" i="2" s="1"/>
  <c r="X6" i="2" s="1"/>
  <c r="W6" i="2" s="1"/>
  <c r="P9" i="2"/>
  <c r="Z7" i="2" s="1"/>
  <c r="O9" i="2"/>
  <c r="Y7" i="2" s="1"/>
  <c r="N9" i="2"/>
  <c r="M9" i="2"/>
  <c r="Q9" i="2"/>
  <c r="AA7" i="2" s="1"/>
  <c r="P6" i="2"/>
  <c r="R47" i="1"/>
  <c r="W36" i="1"/>
  <c r="W28" i="1"/>
  <c r="V36" i="1"/>
  <c r="U36" i="1"/>
  <c r="T36" i="1"/>
  <c r="S36" i="1"/>
  <c r="R36" i="1"/>
  <c r="V28" i="1"/>
  <c r="U28" i="1"/>
  <c r="T28" i="1"/>
  <c r="S28" i="1"/>
  <c r="R28" i="1"/>
  <c r="R21" i="1"/>
  <c r="R13" i="1"/>
  <c r="O44" i="1"/>
  <c r="N44" i="1"/>
  <c r="M44" i="1"/>
  <c r="L44" i="1"/>
  <c r="J35" i="1"/>
  <c r="W8" i="2" l="1"/>
  <c r="W7" i="2"/>
  <c r="B17" i="7"/>
  <c r="D43" i="7" s="1"/>
  <c r="B84" i="2"/>
  <c r="N84" i="2"/>
  <c r="D84" i="2" s="1"/>
  <c r="N13" i="2"/>
  <c r="N14" i="2" s="1"/>
  <c r="O6" i="2"/>
  <c r="P67" i="2"/>
  <c r="O13" i="2"/>
  <c r="O14" i="2" s="1"/>
  <c r="P13" i="2"/>
  <c r="P14" i="2" s="1"/>
  <c r="Q13" i="2"/>
  <c r="Q14" i="2" s="1"/>
  <c r="R37" i="1"/>
  <c r="R49" i="1" s="1"/>
  <c r="Y8" i="2"/>
  <c r="AA8" i="2"/>
  <c r="K12" i="1"/>
  <c r="Z8" i="2"/>
  <c r="X8" i="2"/>
  <c r="X7" i="2"/>
  <c r="T37" i="1"/>
  <c r="W37" i="1"/>
  <c r="R22" i="1"/>
  <c r="V37" i="1"/>
  <c r="S37" i="1"/>
  <c r="U37" i="1"/>
  <c r="W10" i="2" l="1"/>
  <c r="E43" i="7"/>
  <c r="G43" i="7"/>
  <c r="F43" i="7"/>
  <c r="C43" i="7"/>
  <c r="B94" i="2"/>
  <c r="E84" i="2"/>
  <c r="E94" i="2" s="1"/>
  <c r="D94" i="2"/>
  <c r="N6" i="2"/>
  <c r="O67" i="2"/>
  <c r="C53" i="2"/>
  <c r="D53" i="2"/>
  <c r="F84" i="2" l="1"/>
  <c r="F94" i="2" s="1"/>
  <c r="M6" i="2"/>
  <c r="M67" i="2" s="1"/>
  <c r="N67" i="2"/>
  <c r="D19" i="1"/>
  <c r="E53" i="2"/>
  <c r="G84" i="2" l="1"/>
  <c r="G94" i="2" s="1"/>
  <c r="E19" i="1"/>
  <c r="F53" i="2"/>
  <c r="F19" i="1" l="1"/>
  <c r="G19" i="1" s="1"/>
  <c r="G53" i="2"/>
  <c r="D6" i="2" l="1"/>
  <c r="D67" i="2" s="1"/>
  <c r="C36" i="1"/>
  <c r="D36" i="1"/>
  <c r="E36" i="1"/>
  <c r="F36" i="1"/>
  <c r="G36" i="1"/>
  <c r="B14" i="1"/>
  <c r="B23" i="1" l="1"/>
  <c r="B91" i="2" l="1"/>
  <c r="B95" i="2" s="1"/>
  <c r="B76" i="2" s="1"/>
  <c r="B78" i="2" s="1"/>
  <c r="B27" i="2"/>
  <c r="C27" i="2" s="1"/>
  <c r="B19" i="2"/>
  <c r="C19" i="2" s="1"/>
  <c r="B20" i="2"/>
  <c r="C20" i="2" s="1"/>
  <c r="B26" i="1"/>
  <c r="B30" i="1" s="1"/>
  <c r="B62" i="2"/>
  <c r="C58" i="2" s="1"/>
  <c r="B55" i="2"/>
  <c r="C6" i="1"/>
  <c r="B47" i="2"/>
  <c r="C43" i="2" s="1"/>
  <c r="B39" i="2"/>
  <c r="E20" i="2" l="1"/>
  <c r="F20" i="2"/>
  <c r="D20" i="2"/>
  <c r="G20" i="2" s="1"/>
  <c r="J9" i="1"/>
  <c r="J27" i="1" s="1"/>
  <c r="B48" i="1"/>
  <c r="B41" i="1"/>
  <c r="B49" i="1"/>
  <c r="F19" i="2"/>
  <c r="D19" i="2"/>
  <c r="G19" i="2" s="1"/>
  <c r="E19" i="2"/>
  <c r="E27" i="2"/>
  <c r="F27" i="2"/>
  <c r="D27" i="2"/>
  <c r="G27" i="2" s="1"/>
  <c r="C51" i="2"/>
  <c r="C24" i="2" s="1"/>
  <c r="C52" i="2" s="1"/>
  <c r="D52" i="2" s="1"/>
  <c r="B22" i="2"/>
  <c r="C22" i="2" s="1"/>
  <c r="D22" i="2" s="1"/>
  <c r="B63" i="2"/>
  <c r="B56" i="2"/>
  <c r="B40" i="2"/>
  <c r="C33" i="2"/>
  <c r="K6" i="1"/>
  <c r="B48" i="2"/>
  <c r="B41" i="7" l="1"/>
  <c r="J45" i="1"/>
  <c r="J49" i="1" s="1"/>
  <c r="K47" i="1" s="1"/>
  <c r="D34" i="2"/>
  <c r="C37" i="7"/>
  <c r="K30" i="1"/>
  <c r="S6" i="1"/>
  <c r="C32" i="7"/>
  <c r="E52" i="2"/>
  <c r="F52" i="2" s="1"/>
  <c r="G52" i="2" s="1"/>
  <c r="C39" i="2"/>
  <c r="E34" i="2" l="1"/>
  <c r="D37" i="7"/>
  <c r="L30" i="1"/>
  <c r="D33" i="2"/>
  <c r="D23" i="2" s="1"/>
  <c r="C40" i="2"/>
  <c r="C45" i="2" s="1"/>
  <c r="F34" i="2" l="1"/>
  <c r="M30" i="1"/>
  <c r="E37" i="7"/>
  <c r="D39" i="2"/>
  <c r="E33" i="2" s="1"/>
  <c r="E23" i="2" s="1"/>
  <c r="C55" i="2"/>
  <c r="F37" i="7" l="1"/>
  <c r="G34" i="2"/>
  <c r="N30" i="1"/>
  <c r="D40" i="2"/>
  <c r="C56" i="2"/>
  <c r="D51" i="2"/>
  <c r="E39" i="2"/>
  <c r="G37" i="7" l="1"/>
  <c r="O30" i="1"/>
  <c r="D24" i="2"/>
  <c r="C60" i="2"/>
  <c r="F33" i="2"/>
  <c r="F23" i="2" s="1"/>
  <c r="E40" i="2"/>
  <c r="D55" i="2"/>
  <c r="C20" i="1" l="1"/>
  <c r="C93" i="2" s="1"/>
  <c r="K31" i="1"/>
  <c r="K35" i="1" s="1"/>
  <c r="D56" i="2"/>
  <c r="E51" i="2"/>
  <c r="F39" i="2"/>
  <c r="K11" i="1" l="1"/>
  <c r="L12" i="1"/>
  <c r="D60" i="2"/>
  <c r="E24" i="2"/>
  <c r="G33" i="2"/>
  <c r="G23" i="2" s="1"/>
  <c r="F40" i="2"/>
  <c r="E55" i="2"/>
  <c r="L31" i="1" l="1"/>
  <c r="L35" i="1" s="1"/>
  <c r="E56" i="2"/>
  <c r="E60" i="2" s="1"/>
  <c r="F51" i="2"/>
  <c r="G39" i="2"/>
  <c r="M31" i="1" l="1"/>
  <c r="M35" i="1" s="1"/>
  <c r="F24" i="2"/>
  <c r="G40" i="2"/>
  <c r="F55" i="2"/>
  <c r="F56" i="2" l="1"/>
  <c r="F60" i="2" s="1"/>
  <c r="G51" i="2"/>
  <c r="N31" i="1" l="1"/>
  <c r="N35" i="1" s="1"/>
  <c r="G24" i="2"/>
  <c r="G55" i="2"/>
  <c r="G56" i="2" s="1"/>
  <c r="G60" i="2" s="1"/>
  <c r="O31" i="1" l="1"/>
  <c r="O35" i="1" s="1"/>
  <c r="B6" i="1"/>
  <c r="J6" i="1" s="1"/>
  <c r="R6" i="1" l="1"/>
  <c r="B32" i="7"/>
  <c r="E6" i="2"/>
  <c r="E67" i="2" s="1"/>
  <c r="D6" i="1"/>
  <c r="L6" i="1" l="1"/>
  <c r="E6" i="1"/>
  <c r="F6" i="2"/>
  <c r="F67" i="2" s="1"/>
  <c r="T6" i="1" l="1"/>
  <c r="D32" i="7"/>
  <c r="M6" i="1"/>
  <c r="F6" i="1"/>
  <c r="G6" i="2"/>
  <c r="G67" i="2" s="1"/>
  <c r="U6" i="1" l="1"/>
  <c r="E32" i="7"/>
  <c r="N6" i="1"/>
  <c r="G6" i="1"/>
  <c r="V6" i="1" l="1"/>
  <c r="F32" i="7"/>
  <c r="O6" i="1"/>
  <c r="W6" i="1" l="1"/>
  <c r="G32" i="7"/>
  <c r="C47" i="2"/>
  <c r="C48" i="2" s="1"/>
  <c r="D21" i="2"/>
  <c r="S10" i="1" l="1"/>
  <c r="D45" i="2"/>
  <c r="E21" i="2"/>
  <c r="E45" i="2" s="1"/>
  <c r="D43" i="2"/>
  <c r="E20" i="1" l="1"/>
  <c r="M11" i="1" s="1"/>
  <c r="D20" i="1"/>
  <c r="D47" i="2"/>
  <c r="D48" i="2" s="1"/>
  <c r="F21" i="2"/>
  <c r="F45" i="2" s="1"/>
  <c r="F20" i="1" l="1"/>
  <c r="N11" i="1" s="1"/>
  <c r="T10" i="1"/>
  <c r="L11" i="1"/>
  <c r="M12" i="1"/>
  <c r="N12" i="1" s="1"/>
  <c r="D93" i="2"/>
  <c r="E93" i="2"/>
  <c r="E43" i="2"/>
  <c r="E47" i="2" s="1"/>
  <c r="E48" i="2" s="1"/>
  <c r="G21" i="2"/>
  <c r="G45" i="2" s="1"/>
  <c r="U10" i="1" l="1"/>
  <c r="O12" i="1"/>
  <c r="F93" i="2"/>
  <c r="G20" i="1"/>
  <c r="O11" i="1" s="1"/>
  <c r="F43" i="2"/>
  <c r="F47" i="2" s="1"/>
  <c r="F48" i="2" s="1"/>
  <c r="V10" i="1" l="1"/>
  <c r="G93" i="2"/>
  <c r="G43" i="2"/>
  <c r="G47" i="2" s="1"/>
  <c r="G48" i="2" s="1"/>
  <c r="W10" i="1" l="1"/>
  <c r="E22" i="2"/>
  <c r="C62" i="2"/>
  <c r="F22" i="2" l="1"/>
  <c r="G22" i="2" s="1"/>
  <c r="D58" i="2"/>
  <c r="D62" i="2" s="1"/>
  <c r="C63" i="2"/>
  <c r="S11" i="1" l="1"/>
  <c r="S13" i="1" s="1"/>
  <c r="D63" i="2"/>
  <c r="E58" i="2"/>
  <c r="E62" i="2" s="1"/>
  <c r="T11" i="1" l="1"/>
  <c r="T13" i="1" s="1"/>
  <c r="E63" i="2"/>
  <c r="F58" i="2"/>
  <c r="F62" i="2" s="1"/>
  <c r="U11" i="1" l="1"/>
  <c r="U13" i="1" s="1"/>
  <c r="F63" i="2"/>
  <c r="G58" i="2"/>
  <c r="G62" i="2" s="1"/>
  <c r="G63" i="2" s="1"/>
  <c r="D11" i="1"/>
  <c r="C12" i="1"/>
  <c r="C13" i="1"/>
  <c r="W11" i="1" l="1"/>
  <c r="W13" i="1" s="1"/>
  <c r="V11" i="1"/>
  <c r="V13" i="1" s="1"/>
  <c r="C14" i="1"/>
  <c r="C23" i="1" s="1"/>
  <c r="C28" i="1"/>
  <c r="D13" i="1"/>
  <c r="D12" i="1"/>
  <c r="D14" i="1" l="1"/>
  <c r="D23" i="1" s="1"/>
  <c r="E12" i="1"/>
  <c r="E11" i="1"/>
  <c r="E13" i="1"/>
  <c r="C91" i="2"/>
  <c r="C95" i="2" s="1"/>
  <c r="C26" i="1"/>
  <c r="C30" i="1" s="1"/>
  <c r="K14" i="1"/>
  <c r="K17" i="1" s="1"/>
  <c r="D28" i="1"/>
  <c r="L14" i="1" s="1"/>
  <c r="C76" i="2" l="1"/>
  <c r="C78" i="2" s="1"/>
  <c r="E14" i="1"/>
  <c r="D26" i="1"/>
  <c r="D30" i="1" s="1"/>
  <c r="D91" i="2"/>
  <c r="D95" i="2" s="1"/>
  <c r="D76" i="2" s="1"/>
  <c r="D78" i="2" s="1"/>
  <c r="F12" i="1"/>
  <c r="F11" i="1"/>
  <c r="F13" i="1"/>
  <c r="L17" i="1"/>
  <c r="C49" i="1"/>
  <c r="K9" i="1"/>
  <c r="C48" i="1"/>
  <c r="S46" i="1"/>
  <c r="C41" i="1"/>
  <c r="E23" i="1" l="1"/>
  <c r="E26" i="1" s="1"/>
  <c r="F14" i="1"/>
  <c r="S47" i="1"/>
  <c r="S49" i="1" s="1"/>
  <c r="T46" i="1"/>
  <c r="G12" i="1"/>
  <c r="G13" i="1"/>
  <c r="G11" i="1"/>
  <c r="D41" i="1"/>
  <c r="D49" i="1"/>
  <c r="D48" i="1"/>
  <c r="L9" i="1"/>
  <c r="L27" i="1" s="1"/>
  <c r="E91" i="2" l="1"/>
  <c r="E95" i="2" s="1"/>
  <c r="E76" i="2" s="1"/>
  <c r="E78" i="2" s="1"/>
  <c r="G14" i="1"/>
  <c r="F23" i="1"/>
  <c r="F91" i="2" s="1"/>
  <c r="F95" i="2" s="1"/>
  <c r="F76" i="2" s="1"/>
  <c r="F78" i="2" s="1"/>
  <c r="E28" i="1"/>
  <c r="M14" i="1" s="1"/>
  <c r="M17" i="1" s="1"/>
  <c r="T47" i="1"/>
  <c r="T49" i="1" s="1"/>
  <c r="L45" i="1"/>
  <c r="D41" i="7"/>
  <c r="D44" i="7" s="1"/>
  <c r="Y1" i="1"/>
  <c r="F26" i="1" l="1"/>
  <c r="F28" i="1" s="1"/>
  <c r="N14" i="1" s="1"/>
  <c r="N17" i="1" s="1"/>
  <c r="G23" i="1"/>
  <c r="G91" i="2" s="1"/>
  <c r="G95" i="2" s="1"/>
  <c r="G76" i="2" s="1"/>
  <c r="G78" i="2" s="1"/>
  <c r="E30" i="1"/>
  <c r="U46" i="1" s="1"/>
  <c r="E41" i="1" l="1"/>
  <c r="E49" i="1"/>
  <c r="E48" i="1"/>
  <c r="M9" i="1"/>
  <c r="M27" i="1" s="1"/>
  <c r="G26" i="1"/>
  <c r="G28" i="1" s="1"/>
  <c r="O14" i="1" s="1"/>
  <c r="O17" i="1" s="1"/>
  <c r="F30" i="1"/>
  <c r="U47" i="1"/>
  <c r="U49" i="1" s="1"/>
  <c r="E41" i="7" l="1"/>
  <c r="E44" i="7" s="1"/>
  <c r="M45" i="1"/>
  <c r="G30" i="1"/>
  <c r="F48" i="1"/>
  <c r="F41" i="1"/>
  <c r="N9" i="1"/>
  <c r="N27" i="1" s="1"/>
  <c r="F49" i="1"/>
  <c r="V46" i="1"/>
  <c r="W46" i="1" l="1"/>
  <c r="W47" i="1" s="1"/>
  <c r="W49" i="1" s="1"/>
  <c r="V47" i="1"/>
  <c r="V49" i="1" s="1"/>
  <c r="F41" i="7"/>
  <c r="F44" i="7" s="1"/>
  <c r="N45" i="1"/>
  <c r="G48" i="1"/>
  <c r="G41" i="1"/>
  <c r="O9" i="1"/>
  <c r="O27" i="1" s="1"/>
  <c r="G49" i="1"/>
  <c r="G41" i="7" l="1"/>
  <c r="O45" i="1"/>
  <c r="G42" i="7" l="1"/>
  <c r="G45" i="7" s="1"/>
  <c r="G44" i="7"/>
  <c r="K27" i="1" l="1"/>
  <c r="K45" i="1" l="1"/>
  <c r="K48" i="1" s="1"/>
  <c r="C41" i="7"/>
  <c r="C44" i="7" s="1"/>
  <c r="B20" i="7" s="1"/>
  <c r="B21" i="7" s="1"/>
  <c r="B25" i="7" l="1"/>
  <c r="G50" i="7" s="1"/>
  <c r="B28" i="7" s="1"/>
  <c r="K49" i="1"/>
  <c r="S20" i="1" s="1"/>
  <c r="B27" i="7" l="1"/>
  <c r="S21" i="1"/>
  <c r="S22" i="1" s="1"/>
  <c r="S51" i="1" s="1"/>
  <c r="Z1" i="1"/>
  <c r="L48" i="1" s="1"/>
  <c r="L47" i="1"/>
  <c r="K51" i="1"/>
  <c r="L49" i="1" l="1"/>
  <c r="T20" i="1" s="1"/>
  <c r="M47" i="1" l="1"/>
  <c r="L51" i="1"/>
  <c r="AA1" i="1"/>
  <c r="T21" i="1"/>
  <c r="T22" i="1" s="1"/>
  <c r="T51" i="1" s="1"/>
  <c r="M48" i="1" l="1"/>
  <c r="M49" i="1" l="1"/>
  <c r="U20" i="1" s="1"/>
  <c r="U21" i="1" s="1"/>
  <c r="U22" i="1" s="1"/>
  <c r="U51" i="1" s="1"/>
  <c r="AB1" i="1" l="1"/>
  <c r="N48" i="1" s="1"/>
  <c r="M51" i="1"/>
  <c r="N47" i="1"/>
  <c r="N49" i="1" l="1"/>
  <c r="V20" i="1" s="1"/>
  <c r="N51" i="1" l="1"/>
  <c r="O47" i="1"/>
  <c r="AC1" i="1"/>
  <c r="V21" i="1"/>
  <c r="V22" i="1" s="1"/>
  <c r="V51" i="1" s="1"/>
  <c r="O48" i="1" l="1"/>
  <c r="O49" i="1" s="1"/>
  <c r="W20" i="1" l="1"/>
  <c r="W21" i="1" s="1"/>
  <c r="W22" i="1" s="1"/>
  <c r="W51" i="1" s="1"/>
  <c r="O51" i="1" l="1"/>
</calcChain>
</file>

<file path=xl/sharedStrings.xml><?xml version="1.0" encoding="utf-8"?>
<sst xmlns="http://schemas.openxmlformats.org/spreadsheetml/2006/main" count="278" uniqueCount="251">
  <si>
    <t>INCOME STATEMENT</t>
  </si>
  <si>
    <t>Descriptions</t>
  </si>
  <si>
    <t>Assumptions</t>
  </si>
  <si>
    <t>Income Statement</t>
  </si>
  <si>
    <t>Revenue Growth</t>
  </si>
  <si>
    <t>Balance Sheet</t>
  </si>
  <si>
    <t>Effective Interest Rate</t>
  </si>
  <si>
    <t>Accounts Receivable Turnover</t>
  </si>
  <si>
    <t>Inventory Turnover</t>
  </si>
  <si>
    <t>Accounts Payable Turnover</t>
  </si>
  <si>
    <t>Depreciation as % of Gross Block</t>
  </si>
  <si>
    <t>Ammortisation as a % of Gross Block</t>
  </si>
  <si>
    <t>Revenue / Gross Block (Tangible)</t>
  </si>
  <si>
    <t>Revenue / Gross Block (Intangible)</t>
  </si>
  <si>
    <t>Cost of materials consumed</t>
  </si>
  <si>
    <t>Purchase</t>
  </si>
  <si>
    <t>Excise Duty</t>
  </si>
  <si>
    <t xml:space="preserve">Changes in stock </t>
  </si>
  <si>
    <t>Gross Profit</t>
  </si>
  <si>
    <t>Employment Benefit Expenses</t>
  </si>
  <si>
    <t>Depreciation</t>
  </si>
  <si>
    <t>Other Comprehensive Income</t>
  </si>
  <si>
    <t>Total Comprehensive Income for the year</t>
  </si>
  <si>
    <t>Number of Shares Issued:</t>
  </si>
  <si>
    <t>Basic</t>
  </si>
  <si>
    <t>Diluted</t>
  </si>
  <si>
    <t>Earnings per share :</t>
  </si>
  <si>
    <t>Total Current Assets</t>
  </si>
  <si>
    <t>Total Assets</t>
  </si>
  <si>
    <t>Total Non-Current Liabilities</t>
  </si>
  <si>
    <t>Total Liabilities</t>
  </si>
  <si>
    <t>Share Capital</t>
  </si>
  <si>
    <t>Total Equity</t>
  </si>
  <si>
    <t>Total Liabilities And Equity</t>
  </si>
  <si>
    <t>Cash Flows From Operating Activities:</t>
  </si>
  <si>
    <t>Profit For The Year</t>
  </si>
  <si>
    <t>Provisions</t>
  </si>
  <si>
    <t>Cash Flows From Investing Activities:</t>
  </si>
  <si>
    <t>Interest received</t>
  </si>
  <si>
    <t>Cash Flows From Financing Activities:</t>
  </si>
  <si>
    <t>Interest Paid</t>
  </si>
  <si>
    <t>Employment Benefit Share based payment expense</t>
  </si>
  <si>
    <t>ASSET SCHEDULE</t>
  </si>
  <si>
    <t>Tangible Assets</t>
  </si>
  <si>
    <t>Gross Assets (Opening)</t>
  </si>
  <si>
    <t>Acquisitions</t>
  </si>
  <si>
    <t>Transitions</t>
  </si>
  <si>
    <t>Exchange Difference</t>
  </si>
  <si>
    <t>Adjustments</t>
  </si>
  <si>
    <t>Disposal</t>
  </si>
  <si>
    <t>Gross Assets (Ending)</t>
  </si>
  <si>
    <t>Average Gross Block</t>
  </si>
  <si>
    <t>Accumulated Depreciation (Opening)</t>
  </si>
  <si>
    <t>Accumulated Depreciation On Acquisitions During The Year/exchange difference</t>
  </si>
  <si>
    <t>Depreciation For The Year</t>
  </si>
  <si>
    <t>Accumulated Depreciation (Ending)</t>
  </si>
  <si>
    <t>Net Block</t>
  </si>
  <si>
    <t>Intangible Assets</t>
  </si>
  <si>
    <t>Average Gross Assets</t>
  </si>
  <si>
    <t>Amortization</t>
  </si>
  <si>
    <t>Accumulated Amortization (Opening)</t>
  </si>
  <si>
    <t>Accumulated Amortization On Acquisitions During The Year</t>
  </si>
  <si>
    <t>Amortization For The Year</t>
  </si>
  <si>
    <t>Debt/Equity</t>
  </si>
  <si>
    <t>Other Liabilities turnover</t>
  </si>
  <si>
    <t>Dividend payout ratio</t>
  </si>
  <si>
    <t>Wise</t>
  </si>
  <si>
    <t>Revenue</t>
  </si>
  <si>
    <t>Interest expense on customer balances</t>
  </si>
  <si>
    <t>Interest income on customer balances</t>
  </si>
  <si>
    <t>Benefits paid relating to customer balances</t>
  </si>
  <si>
    <t>Cost of sales</t>
  </si>
  <si>
    <t>Net credit losses on financial assets</t>
  </si>
  <si>
    <t>Administrative Expenses</t>
  </si>
  <si>
    <t>Net interest income from corporate investments</t>
  </si>
  <si>
    <t>Other operating income, net</t>
  </si>
  <si>
    <t>Operating Profit</t>
  </si>
  <si>
    <t>Finance Expense</t>
  </si>
  <si>
    <t>Profit before tax</t>
  </si>
  <si>
    <t>Income tax expense</t>
  </si>
  <si>
    <t>Profit for the year</t>
  </si>
  <si>
    <t>Items that may be reclassified to profit or loss:</t>
  </si>
  <si>
    <t>Fair value gain/(loss) on investments, net</t>
  </si>
  <si>
    <t>Currency translation differences</t>
  </si>
  <si>
    <t>Total other comprehensive income/(loss)</t>
  </si>
  <si>
    <t>Deferred Tax Asset</t>
  </si>
  <si>
    <t>Property, Plant and Equipment</t>
  </si>
  <si>
    <t>Intangible assets</t>
  </si>
  <si>
    <t>Trade and other receivables</t>
  </si>
  <si>
    <t>Current Assets</t>
  </si>
  <si>
    <t>Non-current Assets</t>
  </si>
  <si>
    <t>Total non-current Assets</t>
  </si>
  <si>
    <t>Current Tax assets</t>
  </si>
  <si>
    <t>Short-term financial investments</t>
  </si>
  <si>
    <t>Derivative financial assets</t>
  </si>
  <si>
    <t>Cash and cash equivalents</t>
  </si>
  <si>
    <t>Non-current Liabilities</t>
  </si>
  <si>
    <t>Trade and other payables</t>
  </si>
  <si>
    <t>Deferred tax liabilites</t>
  </si>
  <si>
    <t>Borrowings</t>
  </si>
  <si>
    <t>Total non-current Liabilities</t>
  </si>
  <si>
    <t>Current Liabilities</t>
  </si>
  <si>
    <t>Derivative financial liabilities</t>
  </si>
  <si>
    <t>Current tax liabilities</t>
  </si>
  <si>
    <t>Equity</t>
  </si>
  <si>
    <t>Equity merger reserve</t>
  </si>
  <si>
    <t>Share-based payment reserve</t>
  </si>
  <si>
    <t>Own shares reserve</t>
  </si>
  <si>
    <t>Other reserves</t>
  </si>
  <si>
    <t>Currency translation reserve</t>
  </si>
  <si>
    <t>Retained Earnings</t>
  </si>
  <si>
    <t>BALANCE SHEET</t>
  </si>
  <si>
    <t>Adjustments for:</t>
  </si>
  <si>
    <t>Depreciation &amp; Amortisation</t>
  </si>
  <si>
    <t>Foreign Currecy Exchange difference</t>
  </si>
  <si>
    <t>Current tax expenses</t>
  </si>
  <si>
    <t>Interest income and expenses</t>
  </si>
  <si>
    <t>Fair value loss on financial assets as FVOCI</t>
  </si>
  <si>
    <t>Effect of other non-monetary transactions</t>
  </si>
  <si>
    <t>Changes in operating assets and liabilities</t>
  </si>
  <si>
    <t>Increase in prepayments and receivables</t>
  </si>
  <si>
    <t>Increase in trade and other payables</t>
  </si>
  <si>
    <t>Increase in receivables from customers and payment processors</t>
  </si>
  <si>
    <t>Increase in liabilites to customers, payement processors and deferred revenue</t>
  </si>
  <si>
    <t>Increase in wise accounts</t>
  </si>
  <si>
    <t>Net Cash generated from operating activities</t>
  </si>
  <si>
    <t>Payments for property, plant and equipments</t>
  </si>
  <si>
    <t>Payments for intangibles assets</t>
  </si>
  <si>
    <t>Proceeds from sublease</t>
  </si>
  <si>
    <t>Net Cash generated from Investing activities</t>
  </si>
  <si>
    <t>Funding relating to share purchase and employee share schemes</t>
  </si>
  <si>
    <t>Principal elements of lease payments</t>
  </si>
  <si>
    <t>Inerest paid on leases</t>
  </si>
  <si>
    <t>Net Cash generated from Financing activities</t>
  </si>
  <si>
    <t>Net increase/(decrease) in cash and cash equivalents</t>
  </si>
  <si>
    <t>Corporate Income tax paid</t>
  </si>
  <si>
    <t>Cash and cash equivalents at the beginning of the year</t>
  </si>
  <si>
    <t>Effets of exchange rate changes on cash and cash equivalanets</t>
  </si>
  <si>
    <t>Cash and cash equivalents at the end of the year</t>
  </si>
  <si>
    <t>All figures are in £m</t>
  </si>
  <si>
    <t>Bank Fee</t>
  </si>
  <si>
    <t>Depreciation and amortisation</t>
  </si>
  <si>
    <t>CASH FLOW STATEMENT</t>
  </si>
  <si>
    <t>Acquisitions Licenses</t>
  </si>
  <si>
    <t>Acquisitions internally generated software</t>
  </si>
  <si>
    <t>RCF Margin</t>
  </si>
  <si>
    <t>RCF Balance</t>
  </si>
  <si>
    <t>Row Labels</t>
  </si>
  <si>
    <t>2016</t>
  </si>
  <si>
    <t>2017</t>
  </si>
  <si>
    <t>2018</t>
  </si>
  <si>
    <t>2019</t>
  </si>
  <si>
    <t>2020</t>
  </si>
  <si>
    <t>2021</t>
  </si>
  <si>
    <t>2022</t>
  </si>
  <si>
    <t>2023</t>
  </si>
  <si>
    <t>2024</t>
  </si>
  <si>
    <t>2025</t>
  </si>
  <si>
    <t>2026</t>
  </si>
  <si>
    <t>Average of Daily (SONIA) rate - BOE</t>
  </si>
  <si>
    <t>SONIA</t>
  </si>
  <si>
    <t>Margin - Ratio of debt to adjusted EBITDA</t>
  </si>
  <si>
    <t>Adjusted EBITDA</t>
  </si>
  <si>
    <t xml:space="preserve">Adjusted EBITDA </t>
  </si>
  <si>
    <t>Debt</t>
  </si>
  <si>
    <t>Leverage</t>
  </si>
  <si>
    <t>The leverage falls under t1, therefore, I would take the lowerst type</t>
  </si>
  <si>
    <t>Lease Liability</t>
  </si>
  <si>
    <t>Sharebased Payment Compensation</t>
  </si>
  <si>
    <t>Net Interest income from corprate investments</t>
  </si>
  <si>
    <t>Non current trade and other receivables</t>
  </si>
  <si>
    <t>Customer Balance</t>
  </si>
  <si>
    <t>4 Year average of ratio of receivable from customer to customer balance</t>
  </si>
  <si>
    <t>YOY % movement of customer balance</t>
  </si>
  <si>
    <t>3 year average of customer balance</t>
  </si>
  <si>
    <t>Non cash share based payments expenses</t>
  </si>
  <si>
    <t>Payments for financial assets at FVOCI / Proceeds from sale &amp; maturity of FA at FVOCI</t>
  </si>
  <si>
    <t>Proceeds from borrowings / Repayments from borrowings</t>
  </si>
  <si>
    <t>Proceeds from issue of shares and other equity</t>
  </si>
  <si>
    <t>Receivable from customer</t>
  </si>
  <si>
    <t>Principal lease payments</t>
  </si>
  <si>
    <t>FY24</t>
  </si>
  <si>
    <t>FY23</t>
  </si>
  <si>
    <t>Average</t>
  </si>
  <si>
    <t>FCFE - Free cash flow to Equity</t>
  </si>
  <si>
    <t>Description</t>
  </si>
  <si>
    <t>Less:</t>
  </si>
  <si>
    <t>Capex</t>
  </si>
  <si>
    <t>Net Borrowings</t>
  </si>
  <si>
    <t>Interest - (Cost of Debt)</t>
  </si>
  <si>
    <t>Cost of Equity (Ke)</t>
  </si>
  <si>
    <t>Beta</t>
  </si>
  <si>
    <t>Equity Market Risk Premium (Rm)</t>
  </si>
  <si>
    <t>https://www.bloomberg.com/markets/rates-bonds/government-bonds/uk</t>
  </si>
  <si>
    <t>https://valueinvesting.io/WISE.L/valuation/wacc</t>
  </si>
  <si>
    <t>Cost of Debt (Kd)</t>
  </si>
  <si>
    <t>Tax Rate</t>
  </si>
  <si>
    <t>WACC</t>
  </si>
  <si>
    <t>Year</t>
  </si>
  <si>
    <t>FCFE</t>
  </si>
  <si>
    <t>Discount Factor</t>
  </si>
  <si>
    <t>DCF</t>
  </si>
  <si>
    <t>Growth Rate</t>
  </si>
  <si>
    <t>Terminal Value</t>
  </si>
  <si>
    <t>Terminal Value Disconted</t>
  </si>
  <si>
    <t>Enterprise Value</t>
  </si>
  <si>
    <t>Cash</t>
  </si>
  <si>
    <t>Equity Value</t>
  </si>
  <si>
    <t xml:space="preserve">Shares Outstanding </t>
  </si>
  <si>
    <t>Exit Price</t>
  </si>
  <si>
    <t>Entry Price (Dec 2024)</t>
  </si>
  <si>
    <t>MOIC</t>
  </si>
  <si>
    <t>Add:</t>
  </si>
  <si>
    <t>IRR</t>
  </si>
  <si>
    <t>Best Case</t>
  </si>
  <si>
    <t>Base Case</t>
  </si>
  <si>
    <t>Worst Case</t>
  </si>
  <si>
    <t>Grwoth Rate</t>
  </si>
  <si>
    <t>Details</t>
  </si>
  <si>
    <t>CAGR</t>
  </si>
  <si>
    <t>As per strategic report 2024</t>
  </si>
  <si>
    <t>MIOC and IRR</t>
  </si>
  <si>
    <t>rate of 1%. These return metrics reflect Wise's ability to scale earnings as volumes grow and operating leverage improve. Importantly, Wise</t>
  </si>
  <si>
    <t>customer acquistion, volume expansion, and monetisation.</t>
  </si>
  <si>
    <t>BASE</t>
  </si>
  <si>
    <t>BEST</t>
  </si>
  <si>
    <t>WORST</t>
  </si>
  <si>
    <t>Period</t>
  </si>
  <si>
    <t>ASSUMPTIONS</t>
  </si>
  <si>
    <t>Revenue is assumed as an average of 15% and 20%, as per strategic report 2024. The average is the base case scenario and 15% is worst case and 20% is best case scenario.</t>
  </si>
  <si>
    <t>Interest income on customer balance is assumed to be 3% of wise account balance which forms the major part of trade and other payables.</t>
  </si>
  <si>
    <t>Depreciation and Amortisation costs are calculated based on the depreciation % on FA as per 2024 financial statements.</t>
  </si>
  <si>
    <t xml:space="preserve">Interest on RCF is SONIA plus margin which is ratio of debt to adjusted EBITDA, for calculating the margin, the adjusted EBITDA was calculated as </t>
  </si>
  <si>
    <t>forecasted operating profit less net income from corporate investments less depreciation and amortisation less share based payment (12% of admin expense)</t>
  </si>
  <si>
    <t>The RCF and lease liabilities are calculated as the rolling average of last three years. The SONIA rate was taken from Bank of England 2022 to 2024 average which came to 3.69%</t>
  </si>
  <si>
    <t xml:space="preserve">and the leverage of 0.39, therefore, the pricing level fell under tier 1 and hence the margin was taken as 1.25%. Based on this the interest rate for this model is 4.69%. </t>
  </si>
  <si>
    <t>This rate is also taken as cost of debt in calculating WACC.</t>
  </si>
  <si>
    <t xml:space="preserve">The cost of sales and other admin expenses are forecasted as a % of revenue and interest income taking 2024 as the base year. </t>
  </si>
  <si>
    <t>90% of accounts payable are assumed to be customer balance which is the movement of wise accounts in cashflow statement too.</t>
  </si>
  <si>
    <t xml:space="preserve">Cutomer balance is forecasted to grow at 37% each year. 37% is the average growth rate between FY2023 to FY2025. </t>
  </si>
  <si>
    <t xml:space="preserve">For estimating tangible and intangible assets, the month on month revenue change and adjust it by the size of the fixed asset base. </t>
  </si>
  <si>
    <t xml:space="preserve">The size of fixed asset base is calculated by current month income divide by the opening fixed assets. </t>
  </si>
  <si>
    <t>Marked yellow can be adjusted to see the change in MIOC and IRR.</t>
  </si>
  <si>
    <r>
      <rPr>
        <b/>
        <sz val="11"/>
        <color theme="1"/>
        <rFont val="Aptos Narrow"/>
        <family val="2"/>
        <scheme val="minor"/>
      </rPr>
      <t xml:space="preserve">serves less than 1% of an estimated £11trillon cross-border transfer market. </t>
    </r>
    <r>
      <rPr>
        <sz val="11"/>
        <color theme="1"/>
        <rFont val="Aptos Narrow"/>
        <family val="2"/>
        <scheme val="minor"/>
      </rPr>
      <t xml:space="preserve">This vast, under-penetrated market provide a long runway for </t>
    </r>
  </si>
  <si>
    <t>Can be changed to see the change in revenue.</t>
  </si>
  <si>
    <t>7.9b customer deposits</t>
  </si>
  <si>
    <t>10 Yr UK Long term government bond yield (Rf)</t>
  </si>
  <si>
    <t>For calculating FCFE, the customer balance is removed from net cash generated from operations, as that is a liability and not true</t>
  </si>
  <si>
    <t xml:space="preserve">cash generated from operations which can be used for running the business. </t>
  </si>
  <si>
    <t>The projected MOIC of 2.86x and IRR of 23% are directly derived from DCF model, which forecasts strong grwoth in FCFE over five years. The exit</t>
  </si>
  <si>
    <t>price of 30.51 per share is consistent with the terminal equity valur implied by discounting future FCFE using WACC of 8.01% and terminal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</si>
</sst>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quot;FY&quot;yyyy\ &quot;A&quot;"/>
    <numFmt numFmtId="165" formatCode="_(* #,##0.00_);_(* \(#,##0.00\);_(* &quot;-&quot;??_);_(@_)"/>
    <numFmt numFmtId="166" formatCode="_(* #,##0_);_(* \(#,##0\);_(* &quot;-&quot;_);_(@_)"/>
    <numFmt numFmtId="167" formatCode="0.0%"/>
    <numFmt numFmtId="168" formatCode="_(* #,##0_);_(* \(#,##0\);_(* &quot;-&quot;??_);_(@_)"/>
    <numFmt numFmtId="169" formatCode="0.000"/>
    <numFmt numFmtId="170" formatCode="&quot;FY&quot;yyyy\ &quot;F&quot;"/>
    <numFmt numFmtId="171" formatCode="_(#,##0_);\(#,##0\);_(&quot;–&quot;_);_(@_)"/>
    <numFmt numFmtId="172" formatCode="_(#,##0.00_);\(#,##0.00\);_(&quot;–&quot;_);_(@_)"/>
    <numFmt numFmtId="173" formatCode="_-* #,##0_-;\-* #,##0_-;_-* &quot;-&quot;??_-;_-@_-"/>
  </numFmts>
  <fonts count="36"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sz val="11"/>
      <name val="Calibri"/>
      <family val="2"/>
    </font>
    <font>
      <b/>
      <sz val="16"/>
      <color theme="1"/>
      <name val="Calibri"/>
      <family val="2"/>
    </font>
    <font>
      <sz val="8"/>
      <color theme="1"/>
      <name val="Aptos Narrow"/>
      <family val="2"/>
      <scheme val="minor"/>
    </font>
    <font>
      <b/>
      <sz val="14"/>
      <color theme="1"/>
      <name val="Aptos Narrow"/>
      <family val="2"/>
      <scheme val="minor"/>
    </font>
    <font>
      <b/>
      <sz val="12"/>
      <name val="Arial"/>
      <family val="2"/>
    </font>
    <font>
      <b/>
      <sz val="14"/>
      <color theme="0"/>
      <name val="Arial"/>
      <family val="2"/>
    </font>
    <font>
      <sz val="12"/>
      <color rgb="FF00B050"/>
      <name val="Arial"/>
      <family val="2"/>
    </font>
    <font>
      <b/>
      <sz val="14"/>
      <name val="Arial"/>
      <family val="2"/>
    </font>
    <font>
      <sz val="14"/>
      <name val="Arial"/>
      <family val="2"/>
    </font>
    <font>
      <sz val="14"/>
      <color theme="1"/>
      <name val="Arial"/>
      <family val="2"/>
    </font>
    <font>
      <sz val="14"/>
      <color rgb="FF0000FF"/>
      <name val="Arial"/>
      <family val="2"/>
    </font>
    <font>
      <sz val="14"/>
      <color rgb="FF009242"/>
      <name val="Arial"/>
      <family val="2"/>
    </font>
    <font>
      <sz val="10"/>
      <name val="Arial"/>
      <family val="2"/>
    </font>
    <font>
      <sz val="14"/>
      <color theme="0"/>
      <name val="Arial"/>
      <family val="2"/>
    </font>
    <font>
      <sz val="10"/>
      <color rgb="FF3271D2"/>
      <name val="Open Sans"/>
      <family val="2"/>
    </font>
    <font>
      <b/>
      <sz val="10"/>
      <color rgb="FF000000"/>
      <name val="Open Sans"/>
      <family val="2"/>
    </font>
    <font>
      <b/>
      <sz val="11"/>
      <name val="Aptos Narrow"/>
      <family val="2"/>
      <scheme val="minor"/>
    </font>
    <font>
      <b/>
      <i/>
      <sz val="11"/>
      <name val="Aptos Narrow"/>
      <family val="2"/>
      <scheme val="minor"/>
    </font>
    <font>
      <b/>
      <sz val="14"/>
      <name val="Aptos Narrow"/>
      <family val="2"/>
      <scheme val="minor"/>
    </font>
    <font>
      <sz val="10"/>
      <name val="Open Sans"/>
      <family val="2"/>
    </font>
    <font>
      <b/>
      <sz val="10"/>
      <color rgb="FF3271D2"/>
      <name val="Open Sans"/>
      <family val="2"/>
    </font>
    <font>
      <b/>
      <sz val="10"/>
      <color rgb="FF00B050"/>
      <name val="Open Sans"/>
      <family val="2"/>
    </font>
    <font>
      <sz val="11"/>
      <color theme="0"/>
      <name val="Calibri"/>
      <family val="2"/>
    </font>
    <font>
      <b/>
      <sz val="11"/>
      <color theme="0"/>
      <name val="Calibri"/>
      <family val="2"/>
    </font>
    <font>
      <b/>
      <i/>
      <sz val="11"/>
      <color theme="1"/>
      <name val="Aptos Narrow"/>
      <family val="2"/>
      <scheme val="minor"/>
    </font>
    <font>
      <sz val="11"/>
      <name val="Aptos Narrow"/>
      <family val="2"/>
      <scheme val="minor"/>
    </font>
    <font>
      <b/>
      <u/>
      <sz val="11"/>
      <color theme="1"/>
      <name val="Aptos Narrow"/>
      <family val="2"/>
      <scheme val="minor"/>
    </font>
    <font>
      <b/>
      <sz val="24"/>
      <color theme="1"/>
      <name val="Aptos Narrow"/>
      <family val="2"/>
      <scheme val="minor"/>
    </font>
    <font>
      <sz val="12"/>
      <color theme="1"/>
      <name val="Calibri"/>
      <family val="2"/>
    </font>
    <font>
      <sz val="16"/>
      <color theme="1"/>
      <name val="Calibri"/>
      <family val="2"/>
    </font>
    <font>
      <sz val="16"/>
      <color theme="1"/>
      <name val="Aptos Narrow"/>
      <family val="2"/>
      <scheme val="minor"/>
    </font>
  </fonts>
  <fills count="15">
    <fill>
      <patternFill patternType="none"/>
    </fill>
    <fill>
      <patternFill patternType="gray125"/>
    </fill>
    <fill>
      <patternFill patternType="solid">
        <fgColor rgb="FFFFC000"/>
        <bgColor indexed="64"/>
      </patternFill>
    </fill>
    <fill>
      <patternFill patternType="solid">
        <fgColor theme="1"/>
        <bgColor indexed="64"/>
      </patternFill>
    </fill>
    <fill>
      <patternFill patternType="solid">
        <fgColor rgb="FFFFFF99"/>
        <bgColor indexed="64"/>
      </patternFill>
    </fill>
    <fill>
      <patternFill patternType="solid">
        <fgColor rgb="FFFFFF00"/>
        <bgColor indexed="64"/>
      </patternFill>
    </fill>
    <fill>
      <patternFill patternType="solid">
        <fgColor theme="0"/>
        <bgColor indexed="64"/>
      </patternFill>
    </fill>
    <fill>
      <patternFill patternType="solid">
        <fgColor rgb="FF002060"/>
        <bgColor indexed="64"/>
      </patternFill>
    </fill>
    <fill>
      <patternFill patternType="solid">
        <fgColor rgb="FFB7E9C3"/>
        <bgColor indexed="64"/>
      </patternFill>
    </fill>
    <fill>
      <patternFill patternType="solid">
        <fgColor indexed="9"/>
        <bgColor indexed="64"/>
      </patternFill>
    </fill>
    <fill>
      <patternFill patternType="solid">
        <fgColor rgb="FFF6F6F6"/>
        <bgColor rgb="FF000000"/>
      </patternFill>
    </fill>
    <fill>
      <patternFill patternType="solid">
        <fgColor theme="9" tint="0.59996337778862885"/>
        <bgColor indexed="64"/>
      </patternFill>
    </fill>
    <fill>
      <patternFill patternType="solid">
        <fgColor theme="6" tint="-0.249977111117893"/>
        <bgColor theme="6" tint="-0.249977111117893"/>
      </patternFill>
    </fill>
    <fill>
      <patternFill patternType="solid">
        <fgColor theme="6" tint="0.39997558519241921"/>
        <bgColor theme="6" tint="0.39997558519241921"/>
      </patternFill>
    </fill>
    <fill>
      <patternFill patternType="solid">
        <fgColor theme="9" tint="0.59999389629810485"/>
        <bgColor indexed="64"/>
      </patternFill>
    </fill>
  </fills>
  <borders count="17">
    <border>
      <left/>
      <right/>
      <top/>
      <bottom/>
      <diagonal/>
    </border>
    <border>
      <left/>
      <right/>
      <top style="dotted">
        <color auto="1"/>
      </top>
      <bottom style="dotted">
        <color auto="1"/>
      </bottom>
      <diagonal/>
    </border>
    <border>
      <left/>
      <right/>
      <top style="dotted">
        <color auto="1"/>
      </top>
      <bottom/>
      <diagonal/>
    </border>
    <border>
      <left/>
      <right style="dotted">
        <color auto="1"/>
      </right>
      <top style="dotted">
        <color auto="1"/>
      </top>
      <bottom style="dotted">
        <color auto="1"/>
      </bottom>
      <diagonal/>
    </border>
    <border>
      <left/>
      <right style="dotted">
        <color auto="1"/>
      </right>
      <top style="dotted">
        <color auto="1"/>
      </top>
      <bottom/>
      <diagonal/>
    </border>
    <border>
      <left/>
      <right/>
      <top style="hair">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right/>
      <top style="thin">
        <color indexed="64"/>
      </top>
      <bottom/>
      <diagonal/>
    </border>
    <border>
      <left/>
      <right/>
      <top style="hair">
        <color indexed="64"/>
      </top>
      <bottom/>
      <diagonal/>
    </border>
    <border>
      <left/>
      <right style="hair">
        <color indexed="64"/>
      </right>
      <top style="hair">
        <color indexed="64"/>
      </top>
      <bottom style="hair">
        <color indexed="64"/>
      </bottom>
      <diagonal/>
    </border>
    <border>
      <left/>
      <right/>
      <top/>
      <bottom style="dotted">
        <color auto="1"/>
      </bottom>
      <diagonal/>
    </border>
    <border>
      <left/>
      <right/>
      <top style="thin">
        <color auto="1"/>
      </top>
      <bottom style="medium">
        <color auto="1"/>
      </bottom>
      <diagonal/>
    </border>
    <border>
      <left/>
      <right/>
      <top/>
      <bottom style="hair">
        <color indexed="64"/>
      </bottom>
      <diagonal/>
    </border>
    <border>
      <left/>
      <right/>
      <top/>
      <bottom style="thin">
        <color theme="6" tint="0.79998168889431442"/>
      </bottom>
      <diagonal/>
    </border>
    <border>
      <left/>
      <right/>
      <top style="thin">
        <color theme="6" tint="0.79998168889431442"/>
      </top>
      <bottom style="thin">
        <color theme="6" tint="0.79998168889431442"/>
      </bottom>
      <diagonal/>
    </border>
    <border>
      <left/>
      <right/>
      <top style="thin">
        <color rgb="FF0070C0"/>
      </top>
      <bottom style="medium">
        <color rgb="FF0070C0"/>
      </bottom>
      <diagonal/>
    </border>
  </borders>
  <cellStyleXfs count="6">
    <xf numFmtId="0" fontId="0" fillId="0" borderId="0"/>
    <xf numFmtId="43" fontId="1" fillId="0" borderId="0" applyFont="0" applyFill="0" applyBorder="0" applyAlignment="0" applyProtection="0"/>
    <xf numFmtId="0" fontId="5" fillId="0" borderId="0"/>
    <xf numFmtId="0" fontId="7" fillId="0" borderId="0"/>
    <xf numFmtId="9" fontId="1" fillId="0" borderId="0" applyFont="0" applyFill="0" applyBorder="0" applyAlignment="0" applyProtection="0"/>
    <xf numFmtId="165" fontId="17" fillId="0" borderId="0" applyFont="0" applyFill="0" applyBorder="0" applyAlignment="0" applyProtection="0"/>
  </cellStyleXfs>
  <cellXfs count="105">
    <xf numFmtId="0" fontId="0" fillId="0" borderId="0" xfId="0"/>
    <xf numFmtId="0" fontId="3" fillId="3" borderId="0" xfId="0" applyFont="1" applyFill="1"/>
    <xf numFmtId="0" fontId="0" fillId="0" borderId="1" xfId="0" applyBorder="1"/>
    <xf numFmtId="0" fontId="3" fillId="3" borderId="1" xfId="0" applyFont="1" applyFill="1" applyBorder="1"/>
    <xf numFmtId="0" fontId="6" fillId="2" borderId="0" xfId="0" applyFont="1" applyFill="1" applyAlignment="1">
      <alignment horizontal="left"/>
    </xf>
    <xf numFmtId="0" fontId="2" fillId="0" borderId="0" xfId="0" applyFont="1"/>
    <xf numFmtId="164" fontId="3" fillId="3" borderId="1" xfId="0" applyNumberFormat="1" applyFont="1" applyFill="1" applyBorder="1"/>
    <xf numFmtId="0" fontId="0" fillId="0" borderId="2" xfId="0" applyBorder="1"/>
    <xf numFmtId="0" fontId="8" fillId="0" borderId="4" xfId="0" applyFont="1" applyBorder="1"/>
    <xf numFmtId="0" fontId="0" fillId="0" borderId="3" xfId="0" applyBorder="1"/>
    <xf numFmtId="0" fontId="8" fillId="0" borderId="3" xfId="0" applyFont="1" applyBorder="1"/>
    <xf numFmtId="0" fontId="9" fillId="0" borderId="0" xfId="0" applyFont="1"/>
    <xf numFmtId="0" fontId="0" fillId="0" borderId="4" xfId="0" applyBorder="1" applyAlignment="1">
      <alignment horizontal="left" indent="1"/>
    </xf>
    <xf numFmtId="43" fontId="0" fillId="0" borderId="0" xfId="1" applyFont="1"/>
    <xf numFmtId="43" fontId="0" fillId="0" borderId="0" xfId="0" applyNumberFormat="1"/>
    <xf numFmtId="0" fontId="0" fillId="0" borderId="0" xfId="0" applyAlignment="1">
      <alignment horizontal="left" indent="1"/>
    </xf>
    <xf numFmtId="167" fontId="11" fillId="0" borderId="5" xfId="4" applyNumberFormat="1" applyFont="1" applyFill="1" applyBorder="1"/>
    <xf numFmtId="167" fontId="11" fillId="4" borderId="5" xfId="4" applyNumberFormat="1" applyFont="1" applyFill="1" applyBorder="1"/>
    <xf numFmtId="0" fontId="0" fillId="0" borderId="3" xfId="0" applyBorder="1" applyAlignment="1">
      <alignment horizontal="left"/>
    </xf>
    <xf numFmtId="166" fontId="10" fillId="3" borderId="5" xfId="0" applyNumberFormat="1" applyFont="1" applyFill="1" applyBorder="1" applyAlignment="1">
      <alignment horizontal="left" vertical="center"/>
    </xf>
    <xf numFmtId="165" fontId="12" fillId="6" borderId="0" xfId="0" applyNumberFormat="1" applyFont="1" applyFill="1"/>
    <xf numFmtId="165" fontId="13" fillId="6" borderId="0" xfId="0" applyNumberFormat="1" applyFont="1" applyFill="1"/>
    <xf numFmtId="165" fontId="12" fillId="0" borderId="5" xfId="0" applyNumberFormat="1" applyFont="1" applyBorder="1" applyAlignment="1">
      <alignment horizontal="left" vertical="top"/>
    </xf>
    <xf numFmtId="165" fontId="14" fillId="6" borderId="0" xfId="0" applyNumberFormat="1" applyFont="1" applyFill="1"/>
    <xf numFmtId="165" fontId="13" fillId="0" borderId="5" xfId="0" applyNumberFormat="1" applyFont="1" applyBorder="1"/>
    <xf numFmtId="165" fontId="15" fillId="5" borderId="6" xfId="0" applyNumberFormat="1" applyFont="1" applyFill="1" applyBorder="1"/>
    <xf numFmtId="165" fontId="16" fillId="4" borderId="5" xfId="0" applyNumberFormat="1" applyFont="1" applyFill="1" applyBorder="1"/>
    <xf numFmtId="165" fontId="15" fillId="5" borderId="5" xfId="0" applyNumberFormat="1" applyFont="1" applyFill="1" applyBorder="1"/>
    <xf numFmtId="165" fontId="12" fillId="6" borderId="5" xfId="0" applyNumberFormat="1" applyFont="1" applyFill="1" applyBorder="1"/>
    <xf numFmtId="165" fontId="10" fillId="7" borderId="5" xfId="0" applyNumberFormat="1" applyFont="1" applyFill="1" applyBorder="1" applyAlignment="1">
      <alignment horizontal="center"/>
    </xf>
    <xf numFmtId="165" fontId="10" fillId="8" borderId="5" xfId="0" applyNumberFormat="1" applyFont="1" applyFill="1" applyBorder="1" applyAlignment="1">
      <alignment horizontal="center"/>
    </xf>
    <xf numFmtId="165" fontId="10" fillId="7" borderId="0" xfId="0" applyNumberFormat="1" applyFont="1" applyFill="1" applyAlignment="1">
      <alignment horizontal="center"/>
    </xf>
    <xf numFmtId="165" fontId="10" fillId="8" borderId="0" xfId="0" applyNumberFormat="1" applyFont="1" applyFill="1" applyAlignment="1">
      <alignment horizontal="center"/>
    </xf>
    <xf numFmtId="165" fontId="14" fillId="3" borderId="0" xfId="0" applyNumberFormat="1" applyFont="1" applyFill="1"/>
    <xf numFmtId="168" fontId="13" fillId="9" borderId="5" xfId="5" applyNumberFormat="1" applyFont="1" applyFill="1" applyBorder="1" applyAlignment="1">
      <alignment horizontal="left" wrapText="1"/>
    </xf>
    <xf numFmtId="165" fontId="15" fillId="4" borderId="5" xfId="0" applyNumberFormat="1" applyFont="1" applyFill="1" applyBorder="1"/>
    <xf numFmtId="168" fontId="13" fillId="9" borderId="7" xfId="5" applyNumberFormat="1" applyFont="1" applyFill="1" applyBorder="1" applyAlignment="1">
      <alignment horizontal="left"/>
    </xf>
    <xf numFmtId="165" fontId="10" fillId="7" borderId="8" xfId="0" applyNumberFormat="1" applyFont="1" applyFill="1" applyBorder="1" applyAlignment="1">
      <alignment horizontal="center"/>
    </xf>
    <xf numFmtId="165" fontId="18" fillId="8" borderId="8" xfId="0" applyNumberFormat="1" applyFont="1" applyFill="1" applyBorder="1" applyAlignment="1">
      <alignment horizontal="center"/>
    </xf>
    <xf numFmtId="169" fontId="11" fillId="0" borderId="5" xfId="4" applyNumberFormat="1" applyFont="1" applyFill="1" applyBorder="1"/>
    <xf numFmtId="2" fontId="11" fillId="4" borderId="5" xfId="4" applyNumberFormat="1" applyFont="1" applyFill="1" applyBorder="1"/>
    <xf numFmtId="168" fontId="10" fillId="3" borderId="0" xfId="5" applyNumberFormat="1" applyFont="1" applyFill="1" applyBorder="1"/>
    <xf numFmtId="168" fontId="13" fillId="9" borderId="6" xfId="5" applyNumberFormat="1" applyFont="1" applyFill="1" applyBorder="1" applyAlignment="1">
      <alignment horizontal="left"/>
    </xf>
    <xf numFmtId="168" fontId="13" fillId="9" borderId="5" xfId="5" applyNumberFormat="1" applyFont="1" applyFill="1" applyBorder="1" applyAlignment="1">
      <alignment horizontal="left"/>
    </xf>
    <xf numFmtId="165" fontId="18" fillId="8" borderId="0" xfId="0" applyNumberFormat="1" applyFont="1" applyFill="1" applyAlignment="1">
      <alignment horizontal="center"/>
    </xf>
    <xf numFmtId="165" fontId="12" fillId="0" borderId="0" xfId="0" applyNumberFormat="1" applyFont="1"/>
    <xf numFmtId="165" fontId="14" fillId="0" borderId="0" xfId="0" applyNumberFormat="1" applyFont="1"/>
    <xf numFmtId="2" fontId="11" fillId="0" borderId="5" xfId="4" applyNumberFormat="1" applyFont="1" applyFill="1" applyBorder="1"/>
    <xf numFmtId="168" fontId="8" fillId="0" borderId="10" xfId="5" applyNumberFormat="1" applyFont="1" applyFill="1" applyBorder="1"/>
    <xf numFmtId="10" fontId="11" fillId="0" borderId="5" xfId="4" applyNumberFormat="1" applyFont="1" applyFill="1" applyBorder="1"/>
    <xf numFmtId="170" fontId="3" fillId="3" borderId="1" xfId="0" applyNumberFormat="1" applyFont="1" applyFill="1" applyBorder="1"/>
    <xf numFmtId="171" fontId="19" fillId="0" borderId="0" xfId="0" applyNumberFormat="1" applyFont="1" applyAlignment="1">
      <alignment horizontal="right" vertical="center"/>
    </xf>
    <xf numFmtId="171" fontId="20" fillId="10" borderId="0" xfId="0" applyNumberFormat="1" applyFont="1" applyFill="1" applyAlignment="1">
      <alignment horizontal="right" vertical="center"/>
    </xf>
    <xf numFmtId="171" fontId="19" fillId="0" borderId="11" xfId="0" applyNumberFormat="1" applyFont="1" applyBorder="1" applyAlignment="1">
      <alignment horizontal="right" vertical="center"/>
    </xf>
    <xf numFmtId="171" fontId="20" fillId="10" borderId="12" xfId="0" applyNumberFormat="1" applyFont="1" applyFill="1" applyBorder="1" applyAlignment="1">
      <alignment horizontal="right" vertical="center"/>
    </xf>
    <xf numFmtId="0" fontId="2" fillId="0" borderId="0" xfId="0" applyFont="1" applyAlignment="1">
      <alignment horizontal="left"/>
    </xf>
    <xf numFmtId="171" fontId="20" fillId="10" borderId="9" xfId="0" applyNumberFormat="1" applyFont="1" applyFill="1" applyBorder="1" applyAlignment="1">
      <alignment horizontal="right" vertical="center"/>
    </xf>
    <xf numFmtId="164" fontId="21" fillId="0" borderId="12" xfId="0" applyNumberFormat="1" applyFont="1" applyBorder="1"/>
    <xf numFmtId="170" fontId="21" fillId="0" borderId="12" xfId="0" applyNumberFormat="1" applyFont="1" applyBorder="1"/>
    <xf numFmtId="0" fontId="22" fillId="0" borderId="0" xfId="0" applyFont="1"/>
    <xf numFmtId="0" fontId="23" fillId="11" borderId="0" xfId="0" applyFont="1" applyFill="1"/>
    <xf numFmtId="0" fontId="4" fillId="11" borderId="0" xfId="0" applyFont="1" applyFill="1"/>
    <xf numFmtId="9" fontId="0" fillId="0" borderId="0" xfId="4" applyFont="1"/>
    <xf numFmtId="9" fontId="19" fillId="0" borderId="0" xfId="4" applyFont="1" applyAlignment="1">
      <alignment horizontal="right" vertical="center"/>
    </xf>
    <xf numFmtId="9" fontId="24" fillId="0" borderId="0" xfId="4" applyFont="1" applyAlignment="1">
      <alignment horizontal="right" vertical="center"/>
    </xf>
    <xf numFmtId="171" fontId="25" fillId="0" borderId="0" xfId="0" applyNumberFormat="1" applyFont="1" applyAlignment="1">
      <alignment horizontal="right" vertical="center"/>
    </xf>
    <xf numFmtId="171" fontId="26" fillId="0" borderId="0" xfId="0" applyNumberFormat="1" applyFont="1" applyAlignment="1">
      <alignment horizontal="right" vertical="center"/>
    </xf>
    <xf numFmtId="171" fontId="25" fillId="0" borderId="11" xfId="0" applyNumberFormat="1" applyFont="1" applyBorder="1" applyAlignment="1">
      <alignment horizontal="right" vertical="center"/>
    </xf>
    <xf numFmtId="171" fontId="26" fillId="0" borderId="11" xfId="0" applyNumberFormat="1" applyFont="1" applyBorder="1" applyAlignment="1">
      <alignment horizontal="right" vertical="center"/>
    </xf>
    <xf numFmtId="0" fontId="27" fillId="12" borderId="14" xfId="0" applyFont="1" applyFill="1" applyBorder="1"/>
    <xf numFmtId="0" fontId="27" fillId="13" borderId="15" xfId="0" applyFont="1" applyFill="1" applyBorder="1" applyAlignment="1">
      <alignment horizontal="left"/>
    </xf>
    <xf numFmtId="0" fontId="27" fillId="13" borderId="15" xfId="0" applyFont="1" applyFill="1" applyBorder="1"/>
    <xf numFmtId="0" fontId="28" fillId="13" borderId="15" xfId="0" applyFont="1" applyFill="1" applyBorder="1"/>
    <xf numFmtId="10" fontId="0" fillId="0" borderId="0" xfId="4" applyNumberFormat="1" applyFont="1" applyAlignment="1">
      <alignment horizontal="left"/>
    </xf>
    <xf numFmtId="10" fontId="0" fillId="0" borderId="0" xfId="4" applyNumberFormat="1" applyFont="1"/>
    <xf numFmtId="10" fontId="0" fillId="0" borderId="0" xfId="0" applyNumberFormat="1"/>
    <xf numFmtId="43" fontId="0" fillId="0" borderId="16" xfId="0" applyNumberFormat="1" applyBorder="1"/>
    <xf numFmtId="171" fontId="25" fillId="0" borderId="13" xfId="0" applyNumberFormat="1" applyFont="1" applyBorder="1" applyAlignment="1">
      <alignment horizontal="right" vertical="center"/>
    </xf>
    <xf numFmtId="9" fontId="0" fillId="0" borderId="0" xfId="0" applyNumberFormat="1"/>
    <xf numFmtId="172" fontId="0" fillId="0" borderId="0" xfId="0" applyNumberFormat="1"/>
    <xf numFmtId="171" fontId="0" fillId="0" borderId="0" xfId="0" applyNumberFormat="1"/>
    <xf numFmtId="9" fontId="0" fillId="0" borderId="13" xfId="4" applyFont="1" applyBorder="1"/>
    <xf numFmtId="9" fontId="2" fillId="0" borderId="0" xfId="0" applyNumberFormat="1" applyFont="1"/>
    <xf numFmtId="0" fontId="29" fillId="0" borderId="0" xfId="0" applyFont="1"/>
    <xf numFmtId="173" fontId="0" fillId="0" borderId="0" xfId="1" applyNumberFormat="1" applyFont="1"/>
    <xf numFmtId="164" fontId="21" fillId="0" borderId="0" xfId="0" applyNumberFormat="1" applyFont="1"/>
    <xf numFmtId="0" fontId="30" fillId="0" borderId="0" xfId="0" applyFont="1"/>
    <xf numFmtId="173" fontId="2" fillId="0" borderId="0" xfId="0" applyNumberFormat="1" applyFont="1"/>
    <xf numFmtId="10" fontId="2" fillId="0" borderId="0" xfId="4" applyNumberFormat="1" applyFont="1"/>
    <xf numFmtId="9" fontId="0" fillId="0" borderId="0" xfId="1" applyNumberFormat="1" applyFont="1"/>
    <xf numFmtId="0" fontId="0" fillId="14" borderId="0" xfId="0" applyFill="1"/>
    <xf numFmtId="170" fontId="3" fillId="3" borderId="0" xfId="0" applyNumberFormat="1" applyFont="1" applyFill="1"/>
    <xf numFmtId="164" fontId="3" fillId="0" borderId="0" xfId="0" applyNumberFormat="1" applyFont="1"/>
    <xf numFmtId="0" fontId="31" fillId="0" borderId="0" xfId="0" applyFont="1"/>
    <xf numFmtId="173" fontId="2" fillId="0" borderId="0" xfId="1" applyNumberFormat="1" applyFont="1"/>
    <xf numFmtId="9" fontId="0" fillId="5" borderId="0" xfId="0" applyNumberFormat="1" applyFill="1"/>
    <xf numFmtId="10" fontId="0" fillId="5" borderId="0" xfId="4" applyNumberFormat="1" applyFont="1" applyFill="1"/>
    <xf numFmtId="0" fontId="0" fillId="5" borderId="0" xfId="0" applyFill="1"/>
    <xf numFmtId="0" fontId="2" fillId="0" borderId="0" xfId="0" applyFont="1" applyAlignment="1">
      <alignment horizontal="center"/>
    </xf>
    <xf numFmtId="0" fontId="32" fillId="14" borderId="0" xfId="0" applyFont="1" applyFill="1"/>
    <xf numFmtId="0" fontId="33" fillId="0" borderId="0" xfId="0" applyFont="1" applyAlignment="1">
      <alignment horizontal="left" vertical="center" indent="5"/>
    </xf>
    <xf numFmtId="0" fontId="34" fillId="0" borderId="0" xfId="0" applyFont="1" applyAlignment="1">
      <alignment horizontal="left" vertical="center" indent="5"/>
    </xf>
    <xf numFmtId="0" fontId="35" fillId="0" borderId="0" xfId="0" applyFont="1"/>
    <xf numFmtId="0" fontId="34" fillId="0" borderId="0" xfId="0" applyFont="1" applyAlignment="1">
      <alignment horizontal="left" vertical="center"/>
    </xf>
    <xf numFmtId="10" fontId="0" fillId="5" borderId="0" xfId="0" applyNumberFormat="1" applyFill="1"/>
  </cellXfs>
  <cellStyles count="6">
    <cellStyle name="Comma" xfId="1" builtinId="3"/>
    <cellStyle name="Comma 2" xfId="5" xr:uid="{72C971A9-1827-44A1-8BF6-C252CF770014}"/>
    <cellStyle name="Normal" xfId="0" builtinId="0"/>
    <cellStyle name="Normal 13" xfId="2" xr:uid="{E289B717-FEEC-4CF0-96FE-9ADE4825E869}"/>
    <cellStyle name="Normal 4" xfId="3" xr:uid="{ADAEA871-ED1D-4BC9-AC1A-831FE6EBEEF5}"/>
    <cellStyle name="Percent" xfId="4" builtinId="5"/>
  </cellStyles>
  <dxfs count="0"/>
  <tableStyles count="0" defaultTableStyle="TableStyleMedium2" defaultPivotStyle="PivotStyleLight16"/>
  <colors>
    <mruColors>
      <color rgb="FF66FF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'3 Statement Model'!$I$26</c:f>
              <c:strCache>
                <c:ptCount val="1"/>
                <c:pt idx="0">
                  <c:v>Increase in wise accounts</c:v>
                </c:pt>
              </c:strCache>
            </c:strRef>
          </c:tx>
          <c:spPr>
            <a:ln w="38100" cap="flat" cmpd="dbl" algn="ctr">
              <a:solidFill>
                <a:schemeClr val="accent6"/>
              </a:solidFill>
              <a:miter lim="800000"/>
            </a:ln>
            <a:effectLst/>
          </c:spPr>
          <c:marker>
            <c:symbol val="none"/>
          </c:marker>
          <c:cat>
            <c:numRef>
              <c:f>'3 Statement Model'!$J$6:$O$6</c:f>
              <c:numCache>
                <c:formatCode>"FY"yyyy\ "F"</c:formatCode>
                <c:ptCount val="6"/>
                <c:pt idx="0" formatCode="&quot;FY&quot;yyyy\ &quot;A&quot;">
                  <c:v>45292</c:v>
                </c:pt>
                <c:pt idx="1">
                  <c:v>45658</c:v>
                </c:pt>
                <c:pt idx="2">
                  <c:v>46023</c:v>
                </c:pt>
                <c:pt idx="3">
                  <c:v>46388</c:v>
                </c:pt>
                <c:pt idx="4">
                  <c:v>46753</c:v>
                </c:pt>
                <c:pt idx="5">
                  <c:v>47119</c:v>
                </c:pt>
              </c:numCache>
            </c:numRef>
          </c:cat>
          <c:val>
            <c:numRef>
              <c:f>'3 Statement Model'!$J$26:$O$26</c:f>
              <c:numCache>
                <c:formatCode>_(#,##0_);\(#,##0\);_("–"_);_(@_)</c:formatCode>
                <c:ptCount val="6"/>
                <c:pt idx="0">
                  <c:v>2788.7</c:v>
                </c:pt>
                <c:pt idx="1">
                  <c:v>4587.2899471844794</c:v>
                </c:pt>
                <c:pt idx="2">
                  <c:v>6272.712800825866</c:v>
                </c:pt>
                <c:pt idx="3">
                  <c:v>8577.3793099331942</c:v>
                </c:pt>
                <c:pt idx="4">
                  <c:v>11728.80668421223</c:v>
                </c:pt>
                <c:pt idx="5">
                  <c:v>16038.104561414444</c:v>
                </c:pt>
              </c:numCache>
            </c:numRef>
          </c:val>
          <c:smooth val="0"/>
          <c:extLst>
            <c:ext xmlns:c16="http://schemas.microsoft.com/office/drawing/2014/chart" uri="{C3380CC4-5D6E-409C-BE32-E72D297353CC}">
              <c16:uniqueId val="{00000000-C8C3-479E-AAF8-39E195F13F35}"/>
            </c:ext>
          </c:extLst>
        </c:ser>
        <c:dLbls>
          <c:showLegendKey val="0"/>
          <c:showVal val="0"/>
          <c:showCatName val="0"/>
          <c:showSerName val="0"/>
          <c:showPercent val="0"/>
          <c:showBubbleSize val="0"/>
        </c:dLbls>
        <c:smooth val="0"/>
        <c:axId val="384165680"/>
        <c:axId val="384157040"/>
      </c:lineChart>
      <c:dateAx>
        <c:axId val="384165680"/>
        <c:scaling>
          <c:orientation val="minMax"/>
        </c:scaling>
        <c:delete val="0"/>
        <c:axPos val="b"/>
        <c:numFmt formatCode="&quot;FY&quot;yyyy\ &quot;A&quot;" sourceLinked="1"/>
        <c:majorTickMark val="out"/>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157040"/>
        <c:crosses val="autoZero"/>
        <c:auto val="1"/>
        <c:lblOffset val="100"/>
        <c:baseTimeUnit val="years"/>
      </c:dateAx>
      <c:valAx>
        <c:axId val="384157040"/>
        <c:scaling>
          <c:orientation val="minMax"/>
        </c:scaling>
        <c:delete val="0"/>
        <c:axPos val="l"/>
        <c:numFmt formatCode="_(#,##0_);\(#,##0\);_(&quot;–&quot;_);_(@_)"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16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'3 Statement Model'!$A$8</c:f>
              <c:strCache>
                <c:ptCount val="1"/>
                <c:pt idx="0">
                  <c:v>Revenue</c:v>
                </c:pt>
              </c:strCache>
            </c:strRef>
          </c:tx>
          <c:spPr>
            <a:ln w="38100" cap="flat" cmpd="dbl" algn="ctr">
              <a:solidFill>
                <a:schemeClr val="accent6"/>
              </a:solidFill>
              <a:miter lim="800000"/>
            </a:ln>
            <a:effectLst/>
          </c:spPr>
          <c:marker>
            <c:symbol val="none"/>
          </c:marker>
          <c:cat>
            <c:numRef>
              <c:f>'3 Statement Model'!$B$6:$G$6</c:f>
              <c:numCache>
                <c:formatCode>"FY"yyyy\ "F"</c:formatCode>
                <c:ptCount val="6"/>
                <c:pt idx="0" formatCode="&quot;FY&quot;yyyy\ &quot;A&quot;">
                  <c:v>45292</c:v>
                </c:pt>
                <c:pt idx="1">
                  <c:v>45658</c:v>
                </c:pt>
                <c:pt idx="2">
                  <c:v>46023</c:v>
                </c:pt>
                <c:pt idx="3">
                  <c:v>46388</c:v>
                </c:pt>
                <c:pt idx="4">
                  <c:v>46753</c:v>
                </c:pt>
                <c:pt idx="5">
                  <c:v>47119</c:v>
                </c:pt>
              </c:numCache>
            </c:numRef>
          </c:cat>
          <c:val>
            <c:numRef>
              <c:f>'3 Statement Model'!$B$8:$G$8</c:f>
              <c:numCache>
                <c:formatCode>_(#,##0_);\(#,##0\);_("–"_);_(@_)</c:formatCode>
                <c:ptCount val="6"/>
                <c:pt idx="0">
                  <c:v>1052</c:v>
                </c:pt>
                <c:pt idx="1">
                  <c:v>1236.0999999999999</c:v>
                </c:pt>
                <c:pt idx="2">
                  <c:v>1453.0749999999998</c:v>
                </c:pt>
                <c:pt idx="3">
                  <c:v>1708.9082499999997</c:v>
                </c:pt>
                <c:pt idx="4">
                  <c:v>2010.6908874999995</c:v>
                </c:pt>
                <c:pt idx="5">
                  <c:v>2366.8302006249992</c:v>
                </c:pt>
              </c:numCache>
            </c:numRef>
          </c:val>
          <c:smooth val="0"/>
          <c:extLst>
            <c:ext xmlns:c16="http://schemas.microsoft.com/office/drawing/2014/chart" uri="{C3380CC4-5D6E-409C-BE32-E72D297353CC}">
              <c16:uniqueId val="{00000000-59DC-4F08-8696-4D908F42622F}"/>
            </c:ext>
          </c:extLst>
        </c:ser>
        <c:dLbls>
          <c:showLegendKey val="0"/>
          <c:showVal val="0"/>
          <c:showCatName val="0"/>
          <c:showSerName val="0"/>
          <c:showPercent val="0"/>
          <c:showBubbleSize val="0"/>
        </c:dLbls>
        <c:smooth val="0"/>
        <c:axId val="446003512"/>
        <c:axId val="446005672"/>
      </c:lineChart>
      <c:dateAx>
        <c:axId val="446003512"/>
        <c:scaling>
          <c:orientation val="minMax"/>
        </c:scaling>
        <c:delete val="0"/>
        <c:axPos val="b"/>
        <c:numFmt formatCode="&quot;FY&quot;yyyy\ &quot;A&quot;" sourceLinked="1"/>
        <c:majorTickMark val="out"/>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005672"/>
        <c:crosses val="autoZero"/>
        <c:auto val="1"/>
        <c:lblOffset val="100"/>
        <c:baseTimeUnit val="years"/>
      </c:dateAx>
      <c:valAx>
        <c:axId val="446005672"/>
        <c:scaling>
          <c:orientation val="minMax"/>
        </c:scaling>
        <c:delete val="0"/>
        <c:axPos val="l"/>
        <c:numFmt formatCode="_(#,##0_);\(#,##0\);_(&quot;–&quot;_);_(@_)"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003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1759711286089237"/>
          <c:y val="2.3148148148148147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'3 Statement Model'!$A$9</c:f>
              <c:strCache>
                <c:ptCount val="1"/>
                <c:pt idx="0">
                  <c:v>Interest income on customer balances</c:v>
                </c:pt>
              </c:strCache>
            </c:strRef>
          </c:tx>
          <c:spPr>
            <a:ln w="38100" cap="flat" cmpd="dbl" algn="ctr">
              <a:solidFill>
                <a:schemeClr val="accent6"/>
              </a:solidFill>
              <a:miter lim="800000"/>
            </a:ln>
            <a:effectLst/>
          </c:spPr>
          <c:marker>
            <c:symbol val="none"/>
          </c:marker>
          <c:cat>
            <c:numRef>
              <c:f>'3 Statement Model'!$B$6:$G$6</c:f>
              <c:numCache>
                <c:formatCode>"FY"yyyy\ "F"</c:formatCode>
                <c:ptCount val="6"/>
                <c:pt idx="0" formatCode="&quot;FY&quot;yyyy\ &quot;A&quot;">
                  <c:v>45292</c:v>
                </c:pt>
                <c:pt idx="1">
                  <c:v>45658</c:v>
                </c:pt>
                <c:pt idx="2">
                  <c:v>46023</c:v>
                </c:pt>
                <c:pt idx="3">
                  <c:v>46388</c:v>
                </c:pt>
                <c:pt idx="4">
                  <c:v>46753</c:v>
                </c:pt>
                <c:pt idx="5">
                  <c:v>47119</c:v>
                </c:pt>
              </c:numCache>
            </c:numRef>
          </c:cat>
          <c:val>
            <c:numRef>
              <c:f>'3 Statement Model'!$B$9:$G$9</c:f>
              <c:numCache>
                <c:formatCode>_(#,##0_);\(#,##0\);_("–"_);_(@_)</c:formatCode>
                <c:ptCount val="6"/>
                <c:pt idx="0">
                  <c:v>485.2</c:v>
                </c:pt>
                <c:pt idx="1">
                  <c:v>569.0906649061493</c:v>
                </c:pt>
                <c:pt idx="2">
                  <c:v>778.18109160034487</c:v>
                </c:pt>
                <c:pt idx="3">
                  <c:v>1064.0937352647845</c:v>
                </c:pt>
                <c:pt idx="4">
                  <c:v>1455.0539580718589</c:v>
                </c:pt>
                <c:pt idx="5">
                  <c:v>1989.6574434523402</c:v>
                </c:pt>
              </c:numCache>
            </c:numRef>
          </c:val>
          <c:smooth val="0"/>
          <c:extLst>
            <c:ext xmlns:c16="http://schemas.microsoft.com/office/drawing/2014/chart" uri="{C3380CC4-5D6E-409C-BE32-E72D297353CC}">
              <c16:uniqueId val="{00000000-7E6F-4411-97DC-89A580892D0A}"/>
            </c:ext>
          </c:extLst>
        </c:ser>
        <c:dLbls>
          <c:showLegendKey val="0"/>
          <c:showVal val="0"/>
          <c:showCatName val="0"/>
          <c:showSerName val="0"/>
          <c:showPercent val="0"/>
          <c:showBubbleSize val="0"/>
        </c:dLbls>
        <c:smooth val="0"/>
        <c:axId val="446017552"/>
        <c:axId val="446014312"/>
      </c:lineChart>
      <c:dateAx>
        <c:axId val="446017552"/>
        <c:scaling>
          <c:orientation val="minMax"/>
        </c:scaling>
        <c:delete val="0"/>
        <c:axPos val="b"/>
        <c:numFmt formatCode="&quot;FY&quot;yyyy\ &quot;A&quot;" sourceLinked="1"/>
        <c:majorTickMark val="out"/>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014312"/>
        <c:crosses val="autoZero"/>
        <c:auto val="1"/>
        <c:lblOffset val="100"/>
        <c:baseTimeUnit val="years"/>
      </c:dateAx>
      <c:valAx>
        <c:axId val="446014312"/>
        <c:scaling>
          <c:orientation val="minMax"/>
        </c:scaling>
        <c:delete val="0"/>
        <c:axPos val="l"/>
        <c:numFmt formatCode="_(#,##0_);\(#,##0\);_(&quot;–&quot;_);_(@_)"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01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Valuation!$A$35</c:f>
              <c:strCache>
                <c:ptCount val="1"/>
                <c:pt idx="0">
                  <c:v>Net Cash generated from operating activities</c:v>
                </c:pt>
              </c:strCache>
            </c:strRef>
          </c:tx>
          <c:spPr>
            <a:ln w="38100" cap="flat" cmpd="dbl" algn="ctr">
              <a:solidFill>
                <a:schemeClr val="accent6"/>
              </a:solidFill>
              <a:miter lim="800000"/>
            </a:ln>
            <a:effectLst/>
          </c:spPr>
          <c:marker>
            <c:symbol val="none"/>
          </c:marker>
          <c:cat>
            <c:numRef>
              <c:f>Valuation!$B$32:$G$32</c:f>
              <c:numCache>
                <c:formatCode>"FY"yyyy\ "F"</c:formatCode>
                <c:ptCount val="6"/>
                <c:pt idx="0" formatCode="&quot;FY&quot;yyyy\ &quot;A&quot;">
                  <c:v>45292</c:v>
                </c:pt>
                <c:pt idx="1">
                  <c:v>45658</c:v>
                </c:pt>
                <c:pt idx="2">
                  <c:v>46023</c:v>
                </c:pt>
                <c:pt idx="3">
                  <c:v>46388</c:v>
                </c:pt>
                <c:pt idx="4">
                  <c:v>46753</c:v>
                </c:pt>
                <c:pt idx="5">
                  <c:v>47119</c:v>
                </c:pt>
              </c:numCache>
            </c:numRef>
          </c:cat>
          <c:val>
            <c:numRef>
              <c:f>Valuation!$B$35:$G$35</c:f>
              <c:numCache>
                <c:formatCode>_-* #,##0_-;\-* #,##0_-;_-* "-"??_-;_-@_-</c:formatCode>
                <c:ptCount val="6"/>
                <c:pt idx="0">
                  <c:v>460.19999999999982</c:v>
                </c:pt>
                <c:pt idx="1">
                  <c:v>857.23070140430627</c:v>
                </c:pt>
                <c:pt idx="2">
                  <c:v>1028.3590833397993</c:v>
                </c:pt>
                <c:pt idx="3">
                  <c:v>1332.3361504398654</c:v>
                </c:pt>
                <c:pt idx="4">
                  <c:v>1860.9224420370447</c:v>
                </c:pt>
                <c:pt idx="5">
                  <c:v>1871.3211411739085</c:v>
                </c:pt>
              </c:numCache>
            </c:numRef>
          </c:val>
          <c:smooth val="0"/>
          <c:extLst>
            <c:ext xmlns:c16="http://schemas.microsoft.com/office/drawing/2014/chart" uri="{C3380CC4-5D6E-409C-BE32-E72D297353CC}">
              <c16:uniqueId val="{00000000-8E2C-4D51-92B3-765C2A8E9F43}"/>
            </c:ext>
          </c:extLst>
        </c:ser>
        <c:dLbls>
          <c:showLegendKey val="0"/>
          <c:showVal val="0"/>
          <c:showCatName val="0"/>
          <c:showSerName val="0"/>
          <c:showPercent val="0"/>
          <c:showBubbleSize val="0"/>
        </c:dLbls>
        <c:smooth val="0"/>
        <c:axId val="652964808"/>
        <c:axId val="652964448"/>
      </c:lineChart>
      <c:dateAx>
        <c:axId val="652964808"/>
        <c:scaling>
          <c:orientation val="minMax"/>
        </c:scaling>
        <c:delete val="0"/>
        <c:axPos val="b"/>
        <c:numFmt formatCode="&quot;FY&quot;yyyy\ &quot;A&quot;" sourceLinked="1"/>
        <c:majorTickMark val="out"/>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964448"/>
        <c:crosses val="autoZero"/>
        <c:auto val="1"/>
        <c:lblOffset val="100"/>
        <c:baseTimeUnit val="years"/>
      </c:dateAx>
      <c:valAx>
        <c:axId val="652964448"/>
        <c:scaling>
          <c:orientation val="minMax"/>
        </c:scaling>
        <c:delete val="0"/>
        <c:axPos val="l"/>
        <c:numFmt formatCode="_-* #,##0_-;\-* #,##0_-;_-* &quot;-&quot;??_-;_-@_-"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964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Assumptions!$V$8</c:f>
              <c:strCache>
                <c:ptCount val="1"/>
                <c:pt idx="0">
                  <c:v>Grwoth Rate</c:v>
                </c:pt>
              </c:strCache>
            </c:strRef>
          </c:tx>
          <c:spPr>
            <a:ln w="28575" cap="rnd">
              <a:solidFill>
                <a:schemeClr val="accent1"/>
              </a:solidFill>
              <a:round/>
            </a:ln>
            <a:effectLst/>
          </c:spPr>
          <c:marker>
            <c:symbol val="none"/>
          </c:marker>
          <c:cat>
            <c:multiLvlStrRef>
              <c:f>Assumptions!$W$6:$AA$6</c:f>
            </c:multiLvlStrRef>
          </c:cat>
          <c:val>
            <c:numRef>
              <c:f>Assumptions!$W$8:$AA$8</c:f>
            </c:numRef>
          </c:val>
          <c:smooth val="0"/>
          <c:extLst>
            <c:ext xmlns:c16="http://schemas.microsoft.com/office/drawing/2014/chart" uri="{C3380CC4-5D6E-409C-BE32-E72D297353CC}">
              <c16:uniqueId val="{00000000-E32F-4738-A4D5-633D44D1AE5C}"/>
            </c:ext>
          </c:extLst>
        </c:ser>
        <c:dLbls>
          <c:showLegendKey val="0"/>
          <c:showVal val="0"/>
          <c:showCatName val="0"/>
          <c:showSerName val="0"/>
          <c:showPercent val="0"/>
          <c:showBubbleSize val="0"/>
        </c:dLbls>
        <c:marker val="1"/>
        <c:smooth val="0"/>
        <c:axId val="667618896"/>
        <c:axId val="667625736"/>
      </c:lineChart>
      <c:catAx>
        <c:axId val="667618896"/>
        <c:scaling>
          <c:orientation val="minMax"/>
        </c:scaling>
        <c:delete val="0"/>
        <c:axPos val="b"/>
        <c:numFmt formatCode="&quot;FY&quot;yyyy\ &quot;F&quot;"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625736"/>
        <c:crosses val="autoZero"/>
        <c:auto val="1"/>
        <c:lblAlgn val="ctr"/>
        <c:lblOffset val="100"/>
        <c:noMultiLvlLbl val="1"/>
      </c:catAx>
      <c:valAx>
        <c:axId val="66762573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61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170089</xdr:colOff>
      <xdr:row>0</xdr:row>
      <xdr:rowOff>45357</xdr:rowOff>
    </xdr:from>
    <xdr:to>
      <xdr:col>0</xdr:col>
      <xdr:colOff>903616</xdr:colOff>
      <xdr:row>2</xdr:row>
      <xdr:rowOff>117085</xdr:rowOff>
    </xdr:to>
    <xdr:pic>
      <xdr:nvPicPr>
        <xdr:cNvPr id="2" name="Picture 1">
          <a:extLst>
            <a:ext uri="{FF2B5EF4-FFF2-40B4-BE49-F238E27FC236}">
              <a16:creationId xmlns:a16="http://schemas.microsoft.com/office/drawing/2014/main" id="{78F34A62-7C65-C102-807C-E0D4010721BB}"/>
            </a:ext>
          </a:extLst>
        </xdr:cNvPr>
        <xdr:cNvPicPr>
          <a:picLocks noChangeAspect="1"/>
        </xdr:cNvPicPr>
      </xdr:nvPicPr>
      <xdr:blipFill>
        <a:blip xmlns:r="http://schemas.openxmlformats.org/officeDocument/2006/relationships" r:embed="rId1"/>
        <a:stretch>
          <a:fillRect/>
        </a:stretch>
      </xdr:blipFill>
      <xdr:spPr>
        <a:xfrm>
          <a:off x="170089" y="45357"/>
          <a:ext cx="733527" cy="457264"/>
        </a:xfrm>
        <a:prstGeom prst="rect">
          <a:avLst/>
        </a:prstGeom>
      </xdr:spPr>
    </xdr:pic>
    <xdr:clientData/>
  </xdr:twoCellAnchor>
  <xdr:twoCellAnchor>
    <xdr:from>
      <xdr:col>17</xdr:col>
      <xdr:colOff>385536</xdr:colOff>
      <xdr:row>14</xdr:row>
      <xdr:rowOff>170090</xdr:rowOff>
    </xdr:from>
    <xdr:to>
      <xdr:col>24</xdr:col>
      <xdr:colOff>374196</xdr:colOff>
      <xdr:row>26</xdr:row>
      <xdr:rowOff>22679</xdr:rowOff>
    </xdr:to>
    <xdr:graphicFrame macro="">
      <xdr:nvGraphicFramePr>
        <xdr:cNvPr id="4" name="Chart 3">
          <a:extLst>
            <a:ext uri="{FF2B5EF4-FFF2-40B4-BE49-F238E27FC236}">
              <a16:creationId xmlns:a16="http://schemas.microsoft.com/office/drawing/2014/main" id="{9EE833EF-0FA3-4978-86C4-5362B24D3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385536</xdr:colOff>
      <xdr:row>3</xdr:row>
      <xdr:rowOff>147410</xdr:rowOff>
    </xdr:from>
    <xdr:to>
      <xdr:col>24</xdr:col>
      <xdr:colOff>374196</xdr:colOff>
      <xdr:row>14</xdr:row>
      <xdr:rowOff>102054</xdr:rowOff>
    </xdr:to>
    <xdr:graphicFrame macro="">
      <xdr:nvGraphicFramePr>
        <xdr:cNvPr id="5" name="Chart 4">
          <a:extLst>
            <a:ext uri="{FF2B5EF4-FFF2-40B4-BE49-F238E27FC236}">
              <a16:creationId xmlns:a16="http://schemas.microsoft.com/office/drawing/2014/main" id="{20A5807F-6872-4D12-B781-25E1C5022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374197</xdr:colOff>
      <xdr:row>26</xdr:row>
      <xdr:rowOff>113394</xdr:rowOff>
    </xdr:from>
    <xdr:to>
      <xdr:col>24</xdr:col>
      <xdr:colOff>362858</xdr:colOff>
      <xdr:row>37</xdr:row>
      <xdr:rowOff>136072</xdr:rowOff>
    </xdr:to>
    <xdr:graphicFrame macro="">
      <xdr:nvGraphicFramePr>
        <xdr:cNvPr id="6" name="Chart 5">
          <a:extLst>
            <a:ext uri="{FF2B5EF4-FFF2-40B4-BE49-F238E27FC236}">
              <a16:creationId xmlns:a16="http://schemas.microsoft.com/office/drawing/2014/main" id="{4079C365-FF93-4DBC-9018-AE98D44E6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339044</xdr:colOff>
      <xdr:row>31</xdr:row>
      <xdr:rowOff>108176</xdr:rowOff>
    </xdr:from>
    <xdr:to>
      <xdr:col>14</xdr:col>
      <xdr:colOff>328839</xdr:colOff>
      <xdr:row>45</xdr:row>
      <xdr:rowOff>45357</xdr:rowOff>
    </xdr:to>
    <xdr:graphicFrame macro="">
      <xdr:nvGraphicFramePr>
        <xdr:cNvPr id="8" name="Chart 7">
          <a:extLst>
            <a:ext uri="{FF2B5EF4-FFF2-40B4-BE49-F238E27FC236}">
              <a16:creationId xmlns:a16="http://schemas.microsoft.com/office/drawing/2014/main" id="{CE9B0EE0-9EE5-23A7-F598-54F52D933F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657679</xdr:colOff>
      <xdr:row>2</xdr:row>
      <xdr:rowOff>24446</xdr:rowOff>
    </xdr:to>
    <xdr:pic>
      <xdr:nvPicPr>
        <xdr:cNvPr id="2" name="Picture 1">
          <a:extLst>
            <a:ext uri="{FF2B5EF4-FFF2-40B4-BE49-F238E27FC236}">
              <a16:creationId xmlns:a16="http://schemas.microsoft.com/office/drawing/2014/main" id="{94AE08A1-10B9-4A06-9DB8-5B9E343B37AE}"/>
            </a:ext>
          </a:extLst>
        </xdr:cNvPr>
        <xdr:cNvPicPr>
          <a:picLocks noChangeAspect="1"/>
        </xdr:cNvPicPr>
      </xdr:nvPicPr>
      <xdr:blipFill>
        <a:blip xmlns:r="http://schemas.openxmlformats.org/officeDocument/2006/relationships" r:embed="rId1"/>
        <a:stretch>
          <a:fillRect/>
        </a:stretch>
      </xdr:blipFill>
      <xdr:spPr>
        <a:xfrm>
          <a:off x="0" y="0"/>
          <a:ext cx="657679" cy="409982"/>
        </a:xfrm>
        <a:prstGeom prst="rect">
          <a:avLst/>
        </a:prstGeom>
      </xdr:spPr>
    </xdr:pic>
    <xdr:clientData/>
  </xdr:twoCellAnchor>
  <xdr:twoCellAnchor editAs="oneCell">
    <xdr:from>
      <xdr:col>8</xdr:col>
      <xdr:colOff>0</xdr:colOff>
      <xdr:row>0</xdr:row>
      <xdr:rowOff>0</xdr:rowOff>
    </xdr:from>
    <xdr:to>
      <xdr:col>8</xdr:col>
      <xdr:colOff>657679</xdr:colOff>
      <xdr:row>2</xdr:row>
      <xdr:rowOff>24446</xdr:rowOff>
    </xdr:to>
    <xdr:pic>
      <xdr:nvPicPr>
        <xdr:cNvPr id="3" name="Picture 2">
          <a:extLst>
            <a:ext uri="{FF2B5EF4-FFF2-40B4-BE49-F238E27FC236}">
              <a16:creationId xmlns:a16="http://schemas.microsoft.com/office/drawing/2014/main" id="{180A1103-C3BC-462B-9946-234F962884C8}"/>
            </a:ext>
          </a:extLst>
        </xdr:cNvPr>
        <xdr:cNvPicPr>
          <a:picLocks noChangeAspect="1"/>
        </xdr:cNvPicPr>
      </xdr:nvPicPr>
      <xdr:blipFill>
        <a:blip xmlns:r="http://schemas.openxmlformats.org/officeDocument/2006/relationships" r:embed="rId1"/>
        <a:stretch>
          <a:fillRect/>
        </a:stretch>
      </xdr:blipFill>
      <xdr:spPr>
        <a:xfrm>
          <a:off x="8243661" y="0"/>
          <a:ext cx="657679" cy="409982"/>
        </a:xfrm>
        <a:prstGeom prst="rect">
          <a:avLst/>
        </a:prstGeom>
      </xdr:spPr>
    </xdr:pic>
    <xdr:clientData/>
  </xdr:twoCellAnchor>
  <xdr:twoCellAnchor editAs="oneCell">
    <xdr:from>
      <xdr:col>16</xdr:col>
      <xdr:colOff>0</xdr:colOff>
      <xdr:row>0</xdr:row>
      <xdr:rowOff>0</xdr:rowOff>
    </xdr:from>
    <xdr:to>
      <xdr:col>16</xdr:col>
      <xdr:colOff>657679</xdr:colOff>
      <xdr:row>2</xdr:row>
      <xdr:rowOff>24446</xdr:rowOff>
    </xdr:to>
    <xdr:pic>
      <xdr:nvPicPr>
        <xdr:cNvPr id="4" name="Picture 3">
          <a:extLst>
            <a:ext uri="{FF2B5EF4-FFF2-40B4-BE49-F238E27FC236}">
              <a16:creationId xmlns:a16="http://schemas.microsoft.com/office/drawing/2014/main" id="{BEEAC4E0-0A93-43BE-AA64-05666D72C031}"/>
            </a:ext>
          </a:extLst>
        </xdr:cNvPr>
        <xdr:cNvPicPr>
          <a:picLocks noChangeAspect="1"/>
        </xdr:cNvPicPr>
      </xdr:nvPicPr>
      <xdr:blipFill>
        <a:blip xmlns:r="http://schemas.openxmlformats.org/officeDocument/2006/relationships" r:embed="rId1"/>
        <a:stretch>
          <a:fillRect/>
        </a:stretch>
      </xdr:blipFill>
      <xdr:spPr>
        <a:xfrm>
          <a:off x="18018125" y="0"/>
          <a:ext cx="657679" cy="4099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378557</xdr:colOff>
      <xdr:row>78</xdr:row>
      <xdr:rowOff>61059</xdr:rowOff>
    </xdr:from>
    <xdr:to>
      <xdr:col>37</xdr:col>
      <xdr:colOff>232019</xdr:colOff>
      <xdr:row>82</xdr:row>
      <xdr:rowOff>118010</xdr:rowOff>
    </xdr:to>
    <xdr:pic>
      <xdr:nvPicPr>
        <xdr:cNvPr id="2" name="Picture 1">
          <a:extLst>
            <a:ext uri="{FF2B5EF4-FFF2-40B4-BE49-F238E27FC236}">
              <a16:creationId xmlns:a16="http://schemas.microsoft.com/office/drawing/2014/main" id="{0F2BCE7B-168C-0F91-0F65-6BB6458E97FD}"/>
            </a:ext>
          </a:extLst>
        </xdr:cNvPr>
        <xdr:cNvPicPr>
          <a:picLocks noChangeAspect="1"/>
        </xdr:cNvPicPr>
      </xdr:nvPicPr>
      <xdr:blipFill>
        <a:blip xmlns:r="http://schemas.openxmlformats.org/officeDocument/2006/relationships" r:embed="rId1"/>
        <a:stretch>
          <a:fillRect/>
        </a:stretch>
      </xdr:blipFill>
      <xdr:spPr>
        <a:xfrm>
          <a:off x="9671538" y="17438078"/>
          <a:ext cx="3895481" cy="838490"/>
        </a:xfrm>
        <a:prstGeom prst="rect">
          <a:avLst/>
        </a:prstGeom>
      </xdr:spPr>
    </xdr:pic>
    <xdr:clientData/>
  </xdr:twoCellAnchor>
  <xdr:twoCellAnchor editAs="oneCell">
    <xdr:from>
      <xdr:col>7</xdr:col>
      <xdr:colOff>476250</xdr:colOff>
      <xdr:row>85</xdr:row>
      <xdr:rowOff>97692</xdr:rowOff>
    </xdr:from>
    <xdr:to>
      <xdr:col>41</xdr:col>
      <xdr:colOff>410240</xdr:colOff>
      <xdr:row>102</xdr:row>
      <xdr:rowOff>5580</xdr:rowOff>
    </xdr:to>
    <xdr:pic>
      <xdr:nvPicPr>
        <xdr:cNvPr id="3" name="Picture 2">
          <a:extLst>
            <a:ext uri="{FF2B5EF4-FFF2-40B4-BE49-F238E27FC236}">
              <a16:creationId xmlns:a16="http://schemas.microsoft.com/office/drawing/2014/main" id="{7F9A9F19-3656-E087-2688-528B52719EF4}"/>
            </a:ext>
          </a:extLst>
        </xdr:cNvPr>
        <xdr:cNvPicPr>
          <a:picLocks noChangeAspect="1"/>
        </xdr:cNvPicPr>
      </xdr:nvPicPr>
      <xdr:blipFill>
        <a:blip xmlns:r="http://schemas.openxmlformats.org/officeDocument/2006/relationships" r:embed="rId2"/>
        <a:stretch>
          <a:fillRect/>
        </a:stretch>
      </xdr:blipFill>
      <xdr:spPr>
        <a:xfrm>
          <a:off x="9769231" y="18842404"/>
          <a:ext cx="6516009" cy="3229426"/>
        </a:xfrm>
        <a:prstGeom prst="rect">
          <a:avLst/>
        </a:prstGeom>
      </xdr:spPr>
    </xdr:pic>
    <xdr:clientData/>
  </xdr:twoCellAnchor>
  <xdr:twoCellAnchor>
    <xdr:from>
      <xdr:col>21</xdr:col>
      <xdr:colOff>34193</xdr:colOff>
      <xdr:row>11</xdr:row>
      <xdr:rowOff>20516</xdr:rowOff>
    </xdr:from>
    <xdr:to>
      <xdr:col>28</xdr:col>
      <xdr:colOff>173405</xdr:colOff>
      <xdr:row>24</xdr:row>
      <xdr:rowOff>174869</xdr:rowOff>
    </xdr:to>
    <xdr:graphicFrame macro="">
      <xdr:nvGraphicFramePr>
        <xdr:cNvPr id="5" name="Chart 4">
          <a:extLst>
            <a:ext uri="{FF2B5EF4-FFF2-40B4-BE49-F238E27FC236}">
              <a16:creationId xmlns:a16="http://schemas.microsoft.com/office/drawing/2014/main" id="{C2EAE93D-A13D-0026-818C-EAEA80711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31</xdr:col>
      <xdr:colOff>402981</xdr:colOff>
      <xdr:row>0</xdr:row>
      <xdr:rowOff>97691</xdr:rowOff>
    </xdr:from>
    <xdr:to>
      <xdr:col>34</xdr:col>
      <xdr:colOff>586154</xdr:colOff>
      <xdr:row>5</xdr:row>
      <xdr:rowOff>230274</xdr:rowOff>
    </xdr:to>
    <xdr:pic>
      <xdr:nvPicPr>
        <xdr:cNvPr id="7" name="Picture 6">
          <a:extLst>
            <a:ext uri="{FF2B5EF4-FFF2-40B4-BE49-F238E27FC236}">
              <a16:creationId xmlns:a16="http://schemas.microsoft.com/office/drawing/2014/main" id="{B4520CA8-7128-422C-B9B4-B0FBF9D8A177}"/>
            </a:ext>
          </a:extLst>
        </xdr:cNvPr>
        <xdr:cNvPicPr>
          <a:picLocks noChangeAspect="1"/>
        </xdr:cNvPicPr>
      </xdr:nvPicPr>
      <xdr:blipFill>
        <a:blip xmlns:r="http://schemas.openxmlformats.org/officeDocument/2006/relationships" r:embed="rId4"/>
        <a:stretch>
          <a:fillRect/>
        </a:stretch>
      </xdr:blipFill>
      <xdr:spPr>
        <a:xfrm>
          <a:off x="402981" y="97691"/>
          <a:ext cx="2014904" cy="12560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0.34\tda$\Documents%20and%20Settings\thamaliw\Local%20Settings\Temporary%20Internet%20Files\OLK5D\Templates\Models\Trash\._financial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0.34\tda$\Documents%20and%20Settings\thamaliw\Local%20Settings\Temporary%20Internet%20Files\OLK5D\Templates\Models\Revised%20input-output%20template%20Y-end%20Dec%20-%20v1%20-%204Q%2020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financial2"/>
      <sheetName val="Sheet1"/>
      <sheetName val="Template"/>
      <sheetName val="ACE-IN"/>
    </sheetNames>
    <definedNames>
      <definedName name="cmdOK2_click"/>
    </defined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Name val="Input"/>
      <sheetName val="Output"/>
      <sheetName val="GROMM"/>
    </sheetNames>
    <sheetDataSet>
      <sheetData sheetId="0" refreshError="1"/>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87125-B61D-4FC6-B8CF-72801FB165A7}">
  <dimension ref="A1:AB50"/>
  <sheetViews>
    <sheetView showGridLines="0" tabSelected="1" zoomScale="84" zoomScaleNormal="84" workbookViewId="0"/>
  </sheetViews>
  <sheetFormatPr defaultRowHeight="15" x14ac:dyDescent="0.25"/>
  <cols>
    <col min="1" max="1" width="42.42578125" bestFit="1" customWidth="1"/>
    <col min="2" max="2" width="14.28515625" customWidth="1"/>
    <col min="3" max="3" width="15.42578125" bestFit="1" customWidth="1"/>
    <col min="4" max="4" width="17" bestFit="1" customWidth="1"/>
    <col min="5" max="5" width="10.5703125" bestFit="1" customWidth="1"/>
    <col min="6" max="6" width="12.140625" customWidth="1"/>
    <col min="7" max="7" width="12.42578125" customWidth="1"/>
  </cols>
  <sheetData>
    <row r="1" spans="1:28" x14ac:dyDescent="0.25">
      <c r="A1" s="90"/>
      <c r="B1" s="90"/>
      <c r="C1" s="90"/>
      <c r="D1" s="90"/>
      <c r="E1" s="90"/>
      <c r="F1" s="90"/>
      <c r="G1" s="90"/>
      <c r="H1" s="90"/>
      <c r="I1" s="90"/>
      <c r="J1" s="90"/>
      <c r="K1" s="90"/>
      <c r="L1" s="90"/>
      <c r="M1" s="90"/>
      <c r="N1" s="90"/>
      <c r="O1" s="90"/>
      <c r="P1" s="90"/>
      <c r="Q1" s="90"/>
      <c r="R1" s="90"/>
      <c r="S1" s="90"/>
      <c r="T1" s="90"/>
      <c r="U1" s="90"/>
      <c r="V1" s="90"/>
      <c r="W1" s="90"/>
      <c r="X1" s="90"/>
      <c r="Y1" s="90"/>
      <c r="Z1" s="90"/>
      <c r="AA1" s="90"/>
      <c r="AB1" s="90"/>
    </row>
    <row r="2" spans="1:28" x14ac:dyDescent="0.25">
      <c r="A2" s="90"/>
      <c r="B2" s="90"/>
      <c r="C2" s="90"/>
      <c r="D2" s="90"/>
      <c r="E2" s="90"/>
      <c r="F2" s="90"/>
      <c r="G2" s="90"/>
      <c r="H2" s="90"/>
      <c r="I2" s="90"/>
      <c r="J2" s="90"/>
      <c r="K2" s="90"/>
      <c r="L2" s="90"/>
      <c r="M2" s="90"/>
      <c r="N2" s="90"/>
      <c r="O2" s="90"/>
      <c r="P2" s="90"/>
      <c r="Q2" s="90"/>
      <c r="R2" s="90"/>
      <c r="S2" s="90"/>
      <c r="T2" s="90"/>
      <c r="U2" s="90"/>
      <c r="V2" s="90"/>
      <c r="W2" s="90"/>
      <c r="X2" s="90"/>
      <c r="Y2" s="90"/>
      <c r="Z2" s="90"/>
      <c r="AA2" s="90"/>
      <c r="AB2" s="90"/>
    </row>
    <row r="3" spans="1:28" x14ac:dyDescent="0.25">
      <c r="A3" s="90"/>
      <c r="B3" s="90"/>
      <c r="C3" s="90"/>
      <c r="D3" s="90"/>
      <c r="E3" s="90"/>
      <c r="F3" s="90"/>
      <c r="G3" s="90"/>
      <c r="H3" s="90"/>
      <c r="I3" s="90"/>
      <c r="J3" s="90"/>
      <c r="K3" s="90"/>
      <c r="L3" s="90"/>
      <c r="M3" s="90"/>
      <c r="N3" s="90"/>
      <c r="O3" s="90"/>
      <c r="P3" s="90"/>
      <c r="Q3" s="90"/>
      <c r="R3" s="90"/>
      <c r="S3" s="90"/>
      <c r="T3" s="90"/>
      <c r="U3" s="90"/>
      <c r="V3" s="90"/>
      <c r="W3" s="90"/>
      <c r="X3" s="90"/>
      <c r="Y3" s="90"/>
      <c r="Z3" s="90"/>
      <c r="AA3" s="90"/>
      <c r="AB3" s="90"/>
    </row>
    <row r="5" spans="1:28" x14ac:dyDescent="0.25">
      <c r="A5" t="s">
        <v>190</v>
      </c>
      <c r="B5" s="74">
        <f>B7+(B6*(B8-B7))</f>
        <v>0.09</v>
      </c>
    </row>
    <row r="6" spans="1:28" x14ac:dyDescent="0.25">
      <c r="A6" t="s">
        <v>191</v>
      </c>
      <c r="B6" s="97">
        <v>1</v>
      </c>
      <c r="C6" t="s">
        <v>194</v>
      </c>
    </row>
    <row r="7" spans="1:28" x14ac:dyDescent="0.25">
      <c r="A7" t="s">
        <v>246</v>
      </c>
      <c r="B7" s="104">
        <v>4.4999999999999998E-2</v>
      </c>
      <c r="C7" t="s">
        <v>193</v>
      </c>
      <c r="I7" s="97"/>
      <c r="J7" t="s">
        <v>242</v>
      </c>
    </row>
    <row r="8" spans="1:28" x14ac:dyDescent="0.25">
      <c r="A8" t="s">
        <v>192</v>
      </c>
      <c r="B8" s="95">
        <v>0.09</v>
      </c>
      <c r="C8" t="s">
        <v>194</v>
      </c>
    </row>
    <row r="10" spans="1:28" x14ac:dyDescent="0.25">
      <c r="A10" t="s">
        <v>195</v>
      </c>
      <c r="B10" s="104">
        <f>AVERAGE(Assumptions!B81:G81)</f>
        <v>4.9415231567044193E-2</v>
      </c>
    </row>
    <row r="11" spans="1:28" x14ac:dyDescent="0.25">
      <c r="A11" t="s">
        <v>196</v>
      </c>
      <c r="B11" s="95">
        <v>0.25</v>
      </c>
    </row>
    <row r="12" spans="1:28" x14ac:dyDescent="0.25">
      <c r="B12" s="78"/>
    </row>
    <row r="13" spans="1:28" x14ac:dyDescent="0.25">
      <c r="A13" t="s">
        <v>104</v>
      </c>
      <c r="B13" s="84">
        <f>+'3 Statement Model'!R47</f>
        <v>979.9</v>
      </c>
      <c r="D13" s="14"/>
      <c r="E13" s="62"/>
    </row>
    <row r="14" spans="1:28" x14ac:dyDescent="0.25">
      <c r="A14" t="s">
        <v>164</v>
      </c>
      <c r="B14" s="84">
        <f>+'3 Statement Model'!R27+'3 Statement Model'!R35</f>
        <v>224.20000000000002</v>
      </c>
      <c r="D14" s="14"/>
      <c r="E14" s="62"/>
    </row>
    <row r="15" spans="1:28" x14ac:dyDescent="0.25">
      <c r="A15" t="s">
        <v>206</v>
      </c>
      <c r="B15" s="84">
        <f>+'3 Statement Model'!R20</f>
        <v>10479.200000000001</v>
      </c>
      <c r="D15" s="14"/>
      <c r="E15" s="62"/>
    </row>
    <row r="16" spans="1:28" x14ac:dyDescent="0.25">
      <c r="B16" s="84"/>
    </row>
    <row r="17" spans="1:15" x14ac:dyDescent="0.25">
      <c r="A17" s="5" t="s">
        <v>197</v>
      </c>
      <c r="B17" s="88">
        <f>SUM(B13/SUM(B13+B14))*B5+SUM(B14/SUM(B13+B14))*B10*(1-B11)</f>
        <v>8.0142987449546121E-2</v>
      </c>
    </row>
    <row r="18" spans="1:15" x14ac:dyDescent="0.25">
      <c r="A18" t="s">
        <v>202</v>
      </c>
      <c r="B18" s="96">
        <v>0.01</v>
      </c>
    </row>
    <row r="20" spans="1:15" x14ac:dyDescent="0.25">
      <c r="A20" t="s">
        <v>205</v>
      </c>
      <c r="B20" s="84">
        <f>SUM(C44:G45)</f>
        <v>21017.042124197338</v>
      </c>
    </row>
    <row r="21" spans="1:15" x14ac:dyDescent="0.25">
      <c r="A21" t="s">
        <v>207</v>
      </c>
      <c r="B21" s="84">
        <f>+B20+SUM(B15-B14)</f>
        <v>31272.042124197338</v>
      </c>
      <c r="D21" s="13"/>
    </row>
    <row r="23" spans="1:15" x14ac:dyDescent="0.25">
      <c r="A23" t="s">
        <v>208</v>
      </c>
      <c r="B23" s="84">
        <f>1025000250/1000</f>
        <v>1025000.25</v>
      </c>
      <c r="D23" s="13"/>
      <c r="E23" s="14"/>
    </row>
    <row r="24" spans="1:15" x14ac:dyDescent="0.25">
      <c r="B24" s="84"/>
      <c r="C24" s="93" t="s">
        <v>221</v>
      </c>
    </row>
    <row r="25" spans="1:15" x14ac:dyDescent="0.25">
      <c r="A25" t="s">
        <v>209</v>
      </c>
      <c r="B25" s="13">
        <f>+B21/(B23/1000)</f>
        <v>30.509301948167657</v>
      </c>
      <c r="C25" s="90" t="s">
        <v>249</v>
      </c>
      <c r="D25" s="90"/>
      <c r="E25" s="90"/>
      <c r="F25" s="90"/>
      <c r="G25" s="90"/>
      <c r="H25" s="90"/>
      <c r="I25" s="90"/>
      <c r="J25" s="90"/>
      <c r="K25" s="90"/>
      <c r="L25" s="90"/>
      <c r="M25" s="90"/>
      <c r="N25" s="90"/>
      <c r="O25" s="90"/>
    </row>
    <row r="26" spans="1:15" x14ac:dyDescent="0.25">
      <c r="A26" t="s">
        <v>210</v>
      </c>
      <c r="B26" s="13">
        <v>10.66</v>
      </c>
      <c r="C26" s="90" t="s">
        <v>250</v>
      </c>
      <c r="D26" s="90"/>
      <c r="E26" s="90"/>
      <c r="F26" s="90"/>
      <c r="G26" s="90"/>
      <c r="H26" s="90"/>
      <c r="I26" s="90"/>
      <c r="J26" s="90"/>
      <c r="K26" s="90"/>
      <c r="L26" s="90"/>
      <c r="M26" s="90"/>
      <c r="N26" s="90"/>
      <c r="O26" s="90"/>
    </row>
    <row r="27" spans="1:15" x14ac:dyDescent="0.25">
      <c r="A27" t="s">
        <v>211</v>
      </c>
      <c r="B27" s="13">
        <f>+B25/B26</f>
        <v>2.8620358300344892</v>
      </c>
      <c r="C27" s="90" t="s">
        <v>222</v>
      </c>
      <c r="D27" s="90"/>
      <c r="E27" s="90"/>
      <c r="F27" s="90"/>
      <c r="G27" s="90"/>
      <c r="H27" s="90"/>
      <c r="I27" s="90"/>
      <c r="J27" s="90"/>
      <c r="K27" s="90"/>
      <c r="L27" s="90"/>
      <c r="M27" s="90"/>
      <c r="N27" s="90"/>
      <c r="O27" s="90"/>
    </row>
    <row r="28" spans="1:15" x14ac:dyDescent="0.25">
      <c r="A28" t="s">
        <v>213</v>
      </c>
      <c r="B28" s="89">
        <f>IRR(B50:G50)</f>
        <v>0.23405641307357494</v>
      </c>
      <c r="C28" s="90" t="s">
        <v>243</v>
      </c>
      <c r="D28" s="90"/>
      <c r="E28" s="90"/>
      <c r="F28" s="90"/>
      <c r="G28" s="90"/>
      <c r="H28" s="90"/>
      <c r="I28" s="90"/>
      <c r="J28" s="90"/>
      <c r="K28" s="90"/>
      <c r="L28" s="90"/>
      <c r="M28" s="90"/>
      <c r="N28" s="90"/>
      <c r="O28" s="90"/>
    </row>
    <row r="29" spans="1:15" x14ac:dyDescent="0.25">
      <c r="C29" s="90" t="s">
        <v>223</v>
      </c>
      <c r="D29" s="90"/>
      <c r="E29" s="90"/>
      <c r="F29" s="90"/>
      <c r="G29" s="90"/>
      <c r="H29" s="90"/>
      <c r="I29" s="90"/>
      <c r="J29" s="90"/>
      <c r="K29" s="90"/>
      <c r="L29" s="90"/>
      <c r="M29" s="90"/>
      <c r="N29" s="90"/>
      <c r="O29" s="90"/>
    </row>
    <row r="30" spans="1:15" ht="18.75" x14ac:dyDescent="0.3">
      <c r="A30" s="60" t="s">
        <v>184</v>
      </c>
      <c r="C30" s="5" t="s">
        <v>224</v>
      </c>
      <c r="D30" t="s">
        <v>244</v>
      </c>
    </row>
    <row r="32" spans="1:15" ht="15.75" thickBot="1" x14ac:dyDescent="0.3">
      <c r="A32" s="57" t="s">
        <v>185</v>
      </c>
      <c r="B32" s="57">
        <f>+'3 Statement Model'!J6</f>
        <v>45292</v>
      </c>
      <c r="C32" s="58">
        <f>+'3 Statement Model'!K6</f>
        <v>45658</v>
      </c>
      <c r="D32" s="58">
        <f>+'3 Statement Model'!L6</f>
        <v>46023</v>
      </c>
      <c r="E32" s="58">
        <f>+'3 Statement Model'!M6</f>
        <v>46388</v>
      </c>
      <c r="F32" s="58">
        <f>+'3 Statement Model'!N6</f>
        <v>46753</v>
      </c>
      <c r="G32" s="58">
        <f>+'3 Statement Model'!O6</f>
        <v>47119</v>
      </c>
    </row>
    <row r="33" spans="1:19" x14ac:dyDescent="0.25">
      <c r="A33" s="85" t="s">
        <v>198</v>
      </c>
      <c r="B33" s="86">
        <v>0</v>
      </c>
      <c r="C33" s="86">
        <v>1</v>
      </c>
      <c r="D33" s="86">
        <v>2</v>
      </c>
      <c r="E33" s="86">
        <v>3</v>
      </c>
      <c r="F33" s="86">
        <v>4</v>
      </c>
      <c r="G33" s="86">
        <v>5</v>
      </c>
    </row>
    <row r="35" spans="1:19" x14ac:dyDescent="0.25">
      <c r="A35" s="5" t="s">
        <v>125</v>
      </c>
      <c r="B35" s="84">
        <f>+'3 Statement Model'!J27-'3 Statement Model'!J26</f>
        <v>460.19999999999982</v>
      </c>
      <c r="C35" s="84">
        <f>+'3 Statement Model'!K27-+'3 Statement Model'!K26</f>
        <v>857.23070140430627</v>
      </c>
      <c r="D35" s="84">
        <f>+'3 Statement Model'!L27-+'3 Statement Model'!L26</f>
        <v>1028.3590833397993</v>
      </c>
      <c r="E35" s="84">
        <f>+'3 Statement Model'!M27-+'3 Statement Model'!M26</f>
        <v>1332.3361504398654</v>
      </c>
      <c r="F35" s="84">
        <f>+'3 Statement Model'!N27-+'3 Statement Model'!N26</f>
        <v>1860.9224420370447</v>
      </c>
      <c r="G35" s="84">
        <f>+'3 Statement Model'!O27-+'3 Statement Model'!O26</f>
        <v>1871.3211411739085</v>
      </c>
    </row>
    <row r="36" spans="1:19" x14ac:dyDescent="0.25">
      <c r="A36" s="83" t="s">
        <v>186</v>
      </c>
      <c r="B36" s="84"/>
      <c r="C36" s="84"/>
      <c r="D36" s="84"/>
      <c r="E36" s="84"/>
      <c r="F36" s="84"/>
      <c r="G36" s="84"/>
    </row>
    <row r="37" spans="1:19" x14ac:dyDescent="0.25">
      <c r="A37" s="15" t="s">
        <v>187</v>
      </c>
      <c r="B37" s="84">
        <f>-Assumptions!B34-Assumptions!B52-Assumptions!B53</f>
        <v>-27.7</v>
      </c>
      <c r="C37" s="84">
        <f>-Assumptions!C34-Assumptions!C52-Assumptions!C53</f>
        <v>-18.601776595744674</v>
      </c>
      <c r="D37" s="84">
        <f>-Assumptions!D34-Assumptions!D52-Assumptions!D53</f>
        <v>-28.779088297872335</v>
      </c>
      <c r="E37" s="84">
        <f>-Assumptions!E34-Assumptions!E52-Assumptions!E53</f>
        <v>-28.203315196808507</v>
      </c>
      <c r="F37" s="84">
        <f>-Assumptions!F34-Assumptions!F52-Assumptions!F53</f>
        <v>-34.236324972340412</v>
      </c>
      <c r="G37" s="84">
        <f>-Assumptions!G34-Assumptions!G52-Assumptions!G53</f>
        <v>-38.497349465199456</v>
      </c>
    </row>
    <row r="38" spans="1:19" x14ac:dyDescent="0.25">
      <c r="A38" s="83" t="s">
        <v>212</v>
      </c>
      <c r="B38" s="84"/>
      <c r="C38" s="84"/>
      <c r="D38" s="84"/>
      <c r="E38" s="84"/>
      <c r="F38" s="84"/>
      <c r="G38" s="84"/>
    </row>
    <row r="39" spans="1:19" x14ac:dyDescent="0.25">
      <c r="A39" s="15" t="s">
        <v>188</v>
      </c>
      <c r="B39" s="84">
        <f>+'3 Statement Model'!J40</f>
        <v>-50</v>
      </c>
      <c r="C39" s="84">
        <f>+'3 Statement Model'!K40</f>
        <v>-43.511874017764185</v>
      </c>
      <c r="D39" s="84">
        <f>+'3 Statement Model'!L40</f>
        <v>44.045207351097517</v>
      </c>
      <c r="E39" s="84">
        <f>+'3 Statement Model'!M40</f>
        <v>-13.222222222222221</v>
      </c>
      <c r="F39" s="84">
        <f>+'3 Statement Model'!N40</f>
        <v>-4.2296296296296418</v>
      </c>
      <c r="G39" s="84">
        <f>+'3 Statement Model'!O40</f>
        <v>7.2271604938271565</v>
      </c>
    </row>
    <row r="40" spans="1:19" x14ac:dyDescent="0.25">
      <c r="S40" t="s">
        <v>245</v>
      </c>
    </row>
    <row r="41" spans="1:19" x14ac:dyDescent="0.25">
      <c r="A41" s="5" t="s">
        <v>199</v>
      </c>
      <c r="B41" s="87">
        <f>+B35+B37+B39</f>
        <v>382.49999999999983</v>
      </c>
      <c r="C41" s="87">
        <f t="shared" ref="C41:G41" si="0">+C35+C37+C39</f>
        <v>795.11705079079741</v>
      </c>
      <c r="D41" s="87">
        <f t="shared" si="0"/>
        <v>1043.6252023930244</v>
      </c>
      <c r="E41" s="87">
        <f t="shared" si="0"/>
        <v>1290.9106130208347</v>
      </c>
      <c r="F41" s="87">
        <f t="shared" si="0"/>
        <v>1822.4564874350747</v>
      </c>
      <c r="G41" s="87">
        <f t="shared" si="0"/>
        <v>1840.0509522025361</v>
      </c>
    </row>
    <row r="42" spans="1:19" x14ac:dyDescent="0.25">
      <c r="A42" s="5" t="s">
        <v>203</v>
      </c>
      <c r="B42" s="87"/>
      <c r="C42" s="87"/>
      <c r="D42" s="87"/>
      <c r="E42" s="87"/>
      <c r="F42" s="87"/>
      <c r="G42" s="87">
        <f>SUM(G41)*(1+B18)/B17-B18</f>
        <v>23189.186221248259</v>
      </c>
    </row>
    <row r="43" spans="1:19" x14ac:dyDescent="0.25">
      <c r="A43" s="5" t="s">
        <v>200</v>
      </c>
      <c r="C43" s="14">
        <f>1/(1+$B$17)^C33</f>
        <v>0.92580335346269182</v>
      </c>
      <c r="D43" s="14">
        <f t="shared" ref="D43:G43" si="1">1/(1+$B$17)^D33</f>
        <v>0.85711184928276596</v>
      </c>
      <c r="E43" s="14">
        <f t="shared" si="1"/>
        <v>0.79351702435859406</v>
      </c>
      <c r="F43" s="14">
        <f t="shared" si="1"/>
        <v>0.73464072218092291</v>
      </c>
      <c r="G43" s="14">
        <f t="shared" si="1"/>
        <v>0.68013284418535214</v>
      </c>
    </row>
    <row r="44" spans="1:19" x14ac:dyDescent="0.25">
      <c r="A44" s="5" t="s">
        <v>201</v>
      </c>
      <c r="C44" s="94">
        <f>+C41*C43</f>
        <v>736.12203201748571</v>
      </c>
      <c r="D44" s="94">
        <f t="shared" ref="D44:G44" si="2">+D41*D43</f>
        <v>894.50352718118609</v>
      </c>
      <c r="E44" s="94">
        <f t="shared" si="2"/>
        <v>1024.3595483572212</v>
      </c>
      <c r="F44" s="94">
        <f t="shared" si="2"/>
        <v>1338.8507500726114</v>
      </c>
      <c r="G44" s="94">
        <f t="shared" si="2"/>
        <v>1251.4790875674764</v>
      </c>
    </row>
    <row r="45" spans="1:19" x14ac:dyDescent="0.25">
      <c r="A45" s="5" t="s">
        <v>204</v>
      </c>
      <c r="C45" s="87"/>
      <c r="D45" s="87"/>
      <c r="E45" s="87"/>
      <c r="F45" s="87"/>
      <c r="G45" s="94">
        <f>+G42*G43</f>
        <v>15771.727179001356</v>
      </c>
    </row>
    <row r="50" spans="1:7" hidden="1" x14ac:dyDescent="0.25">
      <c r="A50" t="s">
        <v>213</v>
      </c>
      <c r="B50" s="14">
        <f>-B26</f>
        <v>-10.66</v>
      </c>
      <c r="C50">
        <v>0</v>
      </c>
      <c r="D50">
        <v>0</v>
      </c>
      <c r="E50">
        <v>0</v>
      </c>
      <c r="F50">
        <v>0</v>
      </c>
      <c r="G50" s="14">
        <f>+B25</f>
        <v>30.509301948167657</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1E21626-45D7-4972-B2F9-D6D45E0E19D8}">
          <x14:formula1>
            <xm:f>Assumptions!$V$32:$X$32</xm:f>
          </x14:formula1>
          <xm:sqref>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33C11-63B4-402D-B386-A95D86596CB0}">
  <sheetPr codeName="Sheet2"/>
  <dimension ref="A1:AD56"/>
  <sheetViews>
    <sheetView showGridLines="0" zoomScale="84" zoomScaleNormal="84" workbookViewId="0">
      <pane xSplit="1" ySplit="6" topLeftCell="G16" activePane="bottomRight" state="frozen"/>
      <selection pane="topRight" activeCell="B1" sqref="B1"/>
      <selection pane="bottomLeft" activeCell="A7" sqref="A7"/>
      <selection pane="bottomRight" activeCell="J27" sqref="J27"/>
    </sheetView>
  </sheetViews>
  <sheetFormatPr defaultRowHeight="15" x14ac:dyDescent="0.25"/>
  <cols>
    <col min="1" max="1" width="55.42578125" customWidth="1"/>
    <col min="2" max="2" width="9.85546875" bestFit="1" customWidth="1"/>
    <col min="3" max="3" width="12.42578125" customWidth="1"/>
    <col min="9" max="9" width="80.7109375" bestFit="1" customWidth="1"/>
    <col min="11" max="11" width="10.7109375" bestFit="1" customWidth="1"/>
    <col min="17" max="17" width="28.140625" bestFit="1" customWidth="1"/>
    <col min="19" max="19" width="9.7109375" bestFit="1" customWidth="1"/>
    <col min="20" max="23" width="10.7109375" bestFit="1" customWidth="1"/>
  </cols>
  <sheetData>
    <row r="1" spans="1:29" hidden="1" x14ac:dyDescent="0.25">
      <c r="Y1" s="80">
        <f>SUM(S13)+SUM(S16:S19)+R20-S49</f>
        <v>-4893.5342125173665</v>
      </c>
      <c r="Z1" s="80">
        <f>SUM(T13)+SUM(T16:T19)+S20-T49</f>
        <v>-6704.7286737520844</v>
      </c>
      <c r="AA1" s="80">
        <f>SUM(U13)+SUM(U16:U19)+T20-U49</f>
        <v>-9064.1557687791392</v>
      </c>
      <c r="AB1" s="80">
        <f>SUM(V13)+SUM(V16:V19)+U20-V49</f>
        <v>-12358.166029129337</v>
      </c>
      <c r="AC1" s="80">
        <f>SUM(W13)+SUM(W16:W19)+V20-W49</f>
        <v>-16818.867433806838</v>
      </c>
    </row>
    <row r="2" spans="1:29" ht="30.6" customHeight="1" x14ac:dyDescent="0.25">
      <c r="A2" s="90"/>
      <c r="B2" s="90"/>
      <c r="C2" s="90"/>
      <c r="D2" s="90"/>
      <c r="E2" s="90"/>
      <c r="F2" s="90"/>
      <c r="G2" s="90"/>
      <c r="I2" s="90"/>
      <c r="J2" s="90"/>
      <c r="K2" s="90"/>
      <c r="L2" s="90"/>
      <c r="M2" s="90"/>
      <c r="N2" s="90"/>
      <c r="O2" s="90"/>
      <c r="Q2" s="90"/>
      <c r="R2" s="90"/>
      <c r="S2" s="90"/>
      <c r="T2" s="90"/>
      <c r="U2" s="90"/>
      <c r="V2" s="90"/>
      <c r="W2" s="90"/>
    </row>
    <row r="3" spans="1:29" ht="18.75" x14ac:dyDescent="0.3">
      <c r="A3" s="60" t="s">
        <v>0</v>
      </c>
      <c r="B3" s="61"/>
      <c r="C3" s="61"/>
      <c r="D3" s="61"/>
      <c r="E3" s="61"/>
      <c r="F3" s="61"/>
      <c r="G3" s="61"/>
      <c r="I3" s="60" t="s">
        <v>142</v>
      </c>
      <c r="J3" s="61"/>
      <c r="K3" s="61"/>
      <c r="L3" s="61"/>
      <c r="M3" s="61"/>
      <c r="N3" s="61"/>
      <c r="O3" s="61"/>
      <c r="Q3" s="60" t="s">
        <v>111</v>
      </c>
      <c r="R3" s="61"/>
      <c r="S3" s="61"/>
      <c r="T3" s="61"/>
      <c r="U3" s="61"/>
      <c r="V3" s="61"/>
      <c r="W3" s="61"/>
    </row>
    <row r="6" spans="1:29" ht="15.75" thickBot="1" x14ac:dyDescent="0.3">
      <c r="A6" s="59" t="s">
        <v>139</v>
      </c>
      <c r="B6" s="57">
        <f>+Assumptions!B6</f>
        <v>45292</v>
      </c>
      <c r="C6" s="58">
        <f>+Assumptions!C6</f>
        <v>45658</v>
      </c>
      <c r="D6" s="58">
        <f>+Assumptions!D6</f>
        <v>46023</v>
      </c>
      <c r="E6" s="58">
        <f>+Assumptions!E6</f>
        <v>46388</v>
      </c>
      <c r="F6" s="58">
        <f>+Assumptions!F6</f>
        <v>46753</v>
      </c>
      <c r="G6" s="58">
        <f>+Assumptions!G6</f>
        <v>47119</v>
      </c>
      <c r="I6" s="59" t="s">
        <v>139</v>
      </c>
      <c r="J6" s="57">
        <f>+B6</f>
        <v>45292</v>
      </c>
      <c r="K6" s="58">
        <f t="shared" ref="K6:O6" si="0">+C6</f>
        <v>45658</v>
      </c>
      <c r="L6" s="58">
        <f t="shared" si="0"/>
        <v>46023</v>
      </c>
      <c r="M6" s="58">
        <f t="shared" si="0"/>
        <v>46388</v>
      </c>
      <c r="N6" s="58">
        <f t="shared" si="0"/>
        <v>46753</v>
      </c>
      <c r="O6" s="58">
        <f t="shared" si="0"/>
        <v>47119</v>
      </c>
      <c r="Q6" s="59" t="s">
        <v>139</v>
      </c>
      <c r="R6" s="57">
        <f>+J6</f>
        <v>45292</v>
      </c>
      <c r="S6" s="58">
        <f t="shared" ref="S6:W6" si="1">+K6</f>
        <v>45658</v>
      </c>
      <c r="T6" s="58">
        <f t="shared" si="1"/>
        <v>46023</v>
      </c>
      <c r="U6" s="58">
        <f t="shared" si="1"/>
        <v>46388</v>
      </c>
      <c r="V6" s="58">
        <f t="shared" si="1"/>
        <v>46753</v>
      </c>
      <c r="W6" s="58">
        <f t="shared" si="1"/>
        <v>47119</v>
      </c>
    </row>
    <row r="7" spans="1:29" x14ac:dyDescent="0.25">
      <c r="A7" s="12"/>
      <c r="B7" s="51"/>
      <c r="C7" s="51"/>
      <c r="D7" s="51"/>
      <c r="E7" s="51"/>
      <c r="F7" s="51"/>
      <c r="G7" s="51"/>
      <c r="I7" s="15"/>
      <c r="J7" s="51"/>
      <c r="K7" s="51"/>
      <c r="L7" s="51"/>
      <c r="M7" s="51"/>
      <c r="N7" s="51"/>
      <c r="O7" s="51"/>
    </row>
    <row r="8" spans="1:29" x14ac:dyDescent="0.25">
      <c r="A8" s="15" t="s">
        <v>67</v>
      </c>
      <c r="B8" s="65">
        <v>1052</v>
      </c>
      <c r="C8" s="66">
        <f>IF(Valuation!$C$30="BASE",INDEX(Assumptions!$X$33:$X$37,COLUMN(A1)),IF(Valuation!$C$30="Best",INDEX(Assumptions!$W$33:$W$37,COLUMN(A1)),IF(Valuation!$C$30="Worst",INDEX(Assumptions!$V$33:$V$37,COLUMN(A1)),"")))</f>
        <v>1236.0999999999999</v>
      </c>
      <c r="D8" s="66">
        <f>IF(Valuation!$C$30="BASE",INDEX(Assumptions!$X$33:$X$37,COLUMN(B1)),IF(Valuation!$C$30="Best",INDEX(Assumptions!$W$33:$W$37,COLUMN(B1)),IF(Valuation!$C$30="Worst",INDEX(Assumptions!$V$33:$V$37,COLUMN(B1)),"")))</f>
        <v>1453.0749999999998</v>
      </c>
      <c r="E8" s="66">
        <f>IF(Valuation!$C$30="BASE",INDEX(Assumptions!$X$33:$X$37,COLUMN(C1)),IF(Valuation!$C$30="Best",INDEX(Assumptions!$W$33:$W$37,COLUMN(C1)),IF(Valuation!$C$30="Worst",INDEX(Assumptions!$V$33:$V$37,COLUMN(C1)),"")))</f>
        <v>1708.9082499999997</v>
      </c>
      <c r="F8" s="66">
        <f>IF(Valuation!$C$30="BASE",INDEX(Assumptions!$X$33:$X$37,COLUMN(D1)),IF(Valuation!$C$30="Best",INDEX(Assumptions!$W$33:$W$37,COLUMN(D1)),IF(Valuation!$C$30="Worst",INDEX(Assumptions!$V$33:$V$37,COLUMN(D1)),"")))</f>
        <v>2010.6908874999995</v>
      </c>
      <c r="G8" s="66">
        <f>IF(Valuation!$C$30="BASE",INDEX(Assumptions!$X$33:$X$37,COLUMN(E1)),IF(Valuation!$C$30="Best",INDEX(Assumptions!$W$33:$W$37,COLUMN(E1)),IF(Valuation!$C$30="Worst",INDEX(Assumptions!$V$33:$V$37,COLUMN(E1)),"")))</f>
        <v>2366.8302006249992</v>
      </c>
      <c r="I8" s="5" t="s">
        <v>34</v>
      </c>
      <c r="J8" s="51"/>
      <c r="K8" s="51"/>
      <c r="L8" s="51"/>
      <c r="M8" s="51"/>
      <c r="N8" s="51"/>
      <c r="O8" s="51"/>
      <c r="Q8" s="5" t="s">
        <v>90</v>
      </c>
      <c r="R8" s="51"/>
      <c r="S8" s="51"/>
      <c r="T8" s="51"/>
      <c r="U8" s="51"/>
      <c r="V8" s="51"/>
      <c r="W8" s="51"/>
    </row>
    <row r="9" spans="1:29" x14ac:dyDescent="0.25">
      <c r="A9" s="15" t="s">
        <v>69</v>
      </c>
      <c r="B9" s="65">
        <v>485.2</v>
      </c>
      <c r="C9" s="66">
        <f>+S31*3%</f>
        <v>569.0906649061493</v>
      </c>
      <c r="D9" s="66">
        <f>+T31*3%</f>
        <v>778.18109160034487</v>
      </c>
      <c r="E9" s="66">
        <f>+U31*3%</f>
        <v>1064.0937352647845</v>
      </c>
      <c r="F9" s="66">
        <f>+V31*3%</f>
        <v>1455.0539580718589</v>
      </c>
      <c r="G9" s="66">
        <f>+W31*3%</f>
        <v>1989.6574434523402</v>
      </c>
      <c r="I9" s="15" t="s">
        <v>35</v>
      </c>
      <c r="J9" s="65">
        <f>+B30</f>
        <v>354.60000000000019</v>
      </c>
      <c r="K9" s="66">
        <f>+C30</f>
        <v>519.65090349840375</v>
      </c>
      <c r="L9" s="66">
        <f t="shared" ref="L9:O9" si="2">+D30</f>
        <v>573.72323354827245</v>
      </c>
      <c r="M9" s="66">
        <f t="shared" si="2"/>
        <v>649.89907014076289</v>
      </c>
      <c r="N9" s="66">
        <f t="shared" si="2"/>
        <v>741.21327938642708</v>
      </c>
      <c r="O9" s="66">
        <f t="shared" si="2"/>
        <v>843.19839285802584</v>
      </c>
      <c r="Q9" s="15" t="s">
        <v>85</v>
      </c>
      <c r="R9" s="65">
        <v>103</v>
      </c>
      <c r="S9" s="66">
        <v>103</v>
      </c>
      <c r="T9" s="66">
        <v>103</v>
      </c>
      <c r="U9" s="66">
        <v>103</v>
      </c>
      <c r="V9" s="66">
        <v>103</v>
      </c>
      <c r="W9" s="66">
        <v>103</v>
      </c>
    </row>
    <row r="10" spans="1:29" x14ac:dyDescent="0.25">
      <c r="A10" s="15" t="s">
        <v>68</v>
      </c>
      <c r="B10" s="65">
        <v>0</v>
      </c>
      <c r="C10" s="66"/>
      <c r="D10" s="66"/>
      <c r="E10" s="66"/>
      <c r="F10" s="66"/>
      <c r="G10" s="66"/>
      <c r="I10" s="5" t="s">
        <v>112</v>
      </c>
      <c r="J10" s="65"/>
      <c r="K10" s="66"/>
      <c r="L10" s="66"/>
      <c r="M10" s="66"/>
      <c r="N10" s="66"/>
      <c r="O10" s="66"/>
      <c r="Q10" s="15" t="s">
        <v>86</v>
      </c>
      <c r="R10" s="65">
        <v>34.299999999999997</v>
      </c>
      <c r="S10" s="66">
        <f>+Assumptions!C48</f>
        <v>31.141414046318971</v>
      </c>
      <c r="T10" s="66">
        <f>+Assumptions!D48</f>
        <v>33.61513368480513</v>
      </c>
      <c r="U10" s="66">
        <f>+Assumptions!E48</f>
        <v>29.69164234607419</v>
      </c>
      <c r="V10" s="66">
        <f>+Assumptions!F48</f>
        <v>25.385698314818313</v>
      </c>
      <c r="W10" s="66">
        <f>+Assumptions!G48</f>
        <v>17.689922448691377</v>
      </c>
    </row>
    <row r="11" spans="1:29" x14ac:dyDescent="0.25">
      <c r="A11" s="15" t="s">
        <v>70</v>
      </c>
      <c r="B11" s="65">
        <v>-124.9</v>
      </c>
      <c r="C11" s="66">
        <f>(-SUM(C$8:C$9)*0.2)*SUM($B11)/SUM($B$11:$B$13)</f>
        <v>-101.37963761096137</v>
      </c>
      <c r="D11" s="66">
        <f>(-SUM(D$8:D$9)*0.25)*SUM($B11)/SUM($B$11:$B$13)</f>
        <v>-156.63437828287044</v>
      </c>
      <c r="E11" s="66">
        <f>(-SUM(E$8:E$9)*0.3)*SUM($B11)/SUM($B$11:$B$13)</f>
        <v>-233.59798648352401</v>
      </c>
      <c r="F11" s="66">
        <f>(-SUM(F$8:F$9)*0.35)*SUM($B11)/SUM($B$11:$B$13)</f>
        <v>-340.61383975758503</v>
      </c>
      <c r="G11" s="66">
        <f>(-SUM(G$8:G$9)*0.4)*SUM($B11)/SUM($B$11:$B$13)</f>
        <v>-489.32131901552145</v>
      </c>
      <c r="I11" s="15" t="s">
        <v>113</v>
      </c>
      <c r="J11" s="65">
        <v>18.3</v>
      </c>
      <c r="K11" s="66">
        <f>-C20</f>
        <v>20.937129427494462</v>
      </c>
      <c r="L11" s="66">
        <f t="shared" ref="L11:O11" si="3">-D20</f>
        <v>25.087621344070818</v>
      </c>
      <c r="M11" s="66">
        <f t="shared" si="3"/>
        <v>29.769281476085069</v>
      </c>
      <c r="N11" s="66">
        <f t="shared" si="3"/>
        <v>34.508813441406346</v>
      </c>
      <c r="O11" s="66">
        <f t="shared" si="3"/>
        <v>39.599915529692566</v>
      </c>
      <c r="Q11" s="15" t="s">
        <v>87</v>
      </c>
      <c r="R11" s="65">
        <v>6.5</v>
      </c>
      <c r="S11" s="66">
        <f>+Assumptions!C63</f>
        <v>6.2232331219312549</v>
      </c>
      <c r="T11" s="66">
        <f>+Assumptions!D63</f>
        <v>6.3409804372466141</v>
      </c>
      <c r="U11" s="66">
        <f>+Assumptions!E63</f>
        <v>7.5985054967009802</v>
      </c>
      <c r="V11" s="66">
        <f>+Assumptions!F63</f>
        <v>10.531961058890943</v>
      </c>
      <c r="W11" s="66">
        <f>+Assumptions!G63</f>
        <v>16.025170860524739</v>
      </c>
    </row>
    <row r="12" spans="1:29" x14ac:dyDescent="0.25">
      <c r="A12" s="15" t="s">
        <v>71</v>
      </c>
      <c r="B12" s="65">
        <v>-307.39999999999998</v>
      </c>
      <c r="C12" s="66">
        <f>(-SUM(C$8:C$9)*0.2)*SUM($B12)/SUM($B$11:$B$13)</f>
        <v>-249.5124147446719</v>
      </c>
      <c r="D12" s="66">
        <f>(-SUM(D$8:D$9)*0.25)*SUM($B12)/SUM($B$11:$B$13)</f>
        <v>-385.50366600603985</v>
      </c>
      <c r="E12" s="66">
        <f>(-SUM(E$8:E$9)*0.3)*SUM($B12)/SUM($B$11:$B$13)</f>
        <v>-574.92410764639931</v>
      </c>
      <c r="F12" s="66">
        <f>(-SUM(F$8:F$9)*0.35)*SUM($B12)/SUM($B$11:$B$13)</f>
        <v>-838.30820129288736</v>
      </c>
      <c r="G12" s="66">
        <f>(-SUM(G$8:G$9)*0.4)*SUM($B12)/SUM($B$11:$B$13)</f>
        <v>-1204.3024296667036</v>
      </c>
      <c r="I12" s="15" t="s">
        <v>175</v>
      </c>
      <c r="J12" s="65">
        <v>72.5</v>
      </c>
      <c r="K12" s="66">
        <f>SUM(J12)/SUM(B19:B20)*C19</f>
        <v>89.589706121123569</v>
      </c>
      <c r="L12" s="66">
        <f t="shared" ref="L12:O12" si="4">SUM(K12)/SUM(C19:C20)*D19</f>
        <v>102.49592044560188</v>
      </c>
      <c r="M12" s="66">
        <f t="shared" si="4"/>
        <v>117.25377285421287</v>
      </c>
      <c r="N12" s="66">
        <f t="shared" si="4"/>
        <v>134.16420991709347</v>
      </c>
      <c r="O12" s="66">
        <f t="shared" si="4"/>
        <v>153.64497206575123</v>
      </c>
      <c r="Q12" s="15" t="s">
        <v>88</v>
      </c>
      <c r="R12" s="77">
        <v>32.1</v>
      </c>
      <c r="S12" s="68">
        <f>+Assumptions!M16</f>
        <v>38.799999999999997</v>
      </c>
      <c r="T12" s="68">
        <f>AVERAGE(R12:S12)</f>
        <v>35.450000000000003</v>
      </c>
      <c r="U12" s="68">
        <f>AVERAGE(S12:T12)</f>
        <v>37.125</v>
      </c>
      <c r="V12" s="68">
        <f>AVERAGE(T12:U12)</f>
        <v>36.287500000000001</v>
      </c>
      <c r="W12" s="68">
        <f>AVERAGE(U12:V12)</f>
        <v>36.706249999999997</v>
      </c>
    </row>
    <row r="13" spans="1:29" x14ac:dyDescent="0.25">
      <c r="A13" s="15" t="s">
        <v>72</v>
      </c>
      <c r="B13" s="67">
        <v>-12.5</v>
      </c>
      <c r="C13" s="68">
        <f>(-SUM(C$8:C$9)*0.2)*SUM($B13)/SUM($B$11:$B$13)</f>
        <v>-10.146080625596614</v>
      </c>
      <c r="D13" s="68">
        <f>(-SUM(D$8:D$9)*0.25)*SUM($B13)/SUM($B$11:$B$13)</f>
        <v>-15.675978611175985</v>
      </c>
      <c r="E13" s="68">
        <f>(-SUM(E$8:E$9)*0.3)*SUM($B13)/SUM($B$11:$B$13)</f>
        <v>-23.378501449512012</v>
      </c>
      <c r="F13" s="68">
        <f>(-SUM(F$8:F$9)*0.35)*SUM($B13)/SUM($B$11:$B$13)</f>
        <v>-34.088654899678239</v>
      </c>
      <c r="G13" s="68">
        <f>(-SUM(G$8:G$9)*0.4)*SUM($B13)/SUM($B$11:$B$13)</f>
        <v>-48.971308948711112</v>
      </c>
      <c r="I13" s="15" t="s">
        <v>114</v>
      </c>
      <c r="J13" s="65">
        <v>21.5</v>
      </c>
      <c r="K13" s="66">
        <f>-Assumptions!C36</f>
        <v>0.3</v>
      </c>
      <c r="L13" s="66">
        <f>-Assumptions!D36</f>
        <v>0.3</v>
      </c>
      <c r="M13" s="66">
        <f>-Assumptions!E36</f>
        <v>0.3</v>
      </c>
      <c r="N13" s="66">
        <f>-Assumptions!F36</f>
        <v>0.3</v>
      </c>
      <c r="O13" s="66">
        <f>-Assumptions!G36</f>
        <v>0.3</v>
      </c>
      <c r="Q13" s="5" t="s">
        <v>91</v>
      </c>
      <c r="R13" s="52">
        <f t="shared" ref="R13:W13" si="5">SUM(R9:R12)</f>
        <v>175.9</v>
      </c>
      <c r="S13" s="52">
        <f t="shared" si="5"/>
        <v>179.16464716825021</v>
      </c>
      <c r="T13" s="52">
        <f t="shared" si="5"/>
        <v>178.40611412205175</v>
      </c>
      <c r="U13" s="52">
        <f t="shared" si="5"/>
        <v>177.41514784277518</v>
      </c>
      <c r="V13" s="52">
        <f t="shared" si="5"/>
        <v>175.20515937370925</v>
      </c>
      <c r="W13" s="52">
        <f t="shared" si="5"/>
        <v>173.42134330921613</v>
      </c>
    </row>
    <row r="14" spans="1:29" x14ac:dyDescent="0.25">
      <c r="A14" s="55" t="s">
        <v>18</v>
      </c>
      <c r="B14" s="52">
        <f>SUM(B8:B13)</f>
        <v>1092.4000000000001</v>
      </c>
      <c r="C14" s="52">
        <f t="shared" ref="C14:G14" si="6">SUM(C8:C13)</f>
        <v>1444.1525319249197</v>
      </c>
      <c r="D14" s="52">
        <f t="shared" si="6"/>
        <v>1673.4420687002589</v>
      </c>
      <c r="E14" s="52">
        <f t="shared" si="6"/>
        <v>1941.101389685349</v>
      </c>
      <c r="F14" s="52">
        <f t="shared" si="6"/>
        <v>2252.7341496217082</v>
      </c>
      <c r="G14" s="52">
        <f t="shared" si="6"/>
        <v>2613.8925864464036</v>
      </c>
      <c r="I14" s="15" t="s">
        <v>115</v>
      </c>
      <c r="J14" s="65">
        <v>126.8</v>
      </c>
      <c r="K14" s="66">
        <f>-C28</f>
        <v>152.97262498125741</v>
      </c>
      <c r="L14" s="66">
        <f t="shared" ref="L14:O14" si="7">-D28</f>
        <v>186.26498141234563</v>
      </c>
      <c r="M14" s="66">
        <f t="shared" si="7"/>
        <v>216.63302338025431</v>
      </c>
      <c r="N14" s="66">
        <f t="shared" si="7"/>
        <v>247.07109312880903</v>
      </c>
      <c r="O14" s="66">
        <f t="shared" si="7"/>
        <v>281.06613095267528</v>
      </c>
      <c r="Q14" s="5"/>
      <c r="R14" s="51"/>
      <c r="S14" s="51"/>
      <c r="T14" s="51"/>
      <c r="U14" s="51"/>
      <c r="V14" s="51"/>
      <c r="W14" s="51"/>
    </row>
    <row r="15" spans="1:29" x14ac:dyDescent="0.25">
      <c r="A15" s="55"/>
      <c r="B15" s="64"/>
      <c r="C15" s="64"/>
      <c r="D15" s="64"/>
      <c r="E15" s="64"/>
      <c r="F15" s="64"/>
      <c r="G15" s="64"/>
      <c r="I15" s="15" t="s">
        <v>38</v>
      </c>
      <c r="J15" s="65">
        <v>344.4</v>
      </c>
      <c r="K15" s="66">
        <f>+S31*2%</f>
        <v>379.39377660409957</v>
      </c>
      <c r="L15" s="66">
        <f t="shared" ref="L15:O15" si="8">+T31*2%</f>
        <v>518.78739440022991</v>
      </c>
      <c r="M15" s="66">
        <f t="shared" si="8"/>
        <v>709.39582350985643</v>
      </c>
      <c r="N15" s="66">
        <f t="shared" si="8"/>
        <v>970.03597204790594</v>
      </c>
      <c r="O15" s="66">
        <f t="shared" si="8"/>
        <v>1326.4382956348936</v>
      </c>
      <c r="Q15" s="5" t="s">
        <v>89</v>
      </c>
      <c r="R15" s="51"/>
      <c r="S15" s="51"/>
      <c r="T15" s="51"/>
      <c r="U15" s="51"/>
      <c r="V15" s="51"/>
      <c r="W15" s="51"/>
    </row>
    <row r="16" spans="1:29" x14ac:dyDescent="0.25">
      <c r="A16" s="55"/>
      <c r="B16" s="51"/>
      <c r="C16" s="51"/>
      <c r="D16" s="51"/>
      <c r="E16" s="51"/>
      <c r="F16" s="51"/>
      <c r="G16" s="51"/>
      <c r="I16" s="15" t="s">
        <v>40</v>
      </c>
      <c r="J16" s="65">
        <v>-16.7</v>
      </c>
      <c r="K16" s="66">
        <v>-10</v>
      </c>
      <c r="L16" s="66">
        <v>-10</v>
      </c>
      <c r="M16" s="66">
        <v>-10</v>
      </c>
      <c r="N16" s="66">
        <v>-10</v>
      </c>
      <c r="O16" s="66">
        <v>-10</v>
      </c>
      <c r="Q16" s="15" t="s">
        <v>92</v>
      </c>
      <c r="R16" s="65">
        <v>4</v>
      </c>
      <c r="S16" s="66">
        <f>+R16</f>
        <v>4</v>
      </c>
      <c r="T16" s="66">
        <f t="shared" ref="T16:W16" si="9">+S16</f>
        <v>4</v>
      </c>
      <c r="U16" s="66">
        <f t="shared" si="9"/>
        <v>4</v>
      </c>
      <c r="V16" s="66">
        <f t="shared" si="9"/>
        <v>4</v>
      </c>
      <c r="W16" s="66">
        <f t="shared" si="9"/>
        <v>4</v>
      </c>
    </row>
    <row r="17" spans="1:30" x14ac:dyDescent="0.25">
      <c r="A17" s="55"/>
      <c r="B17" s="63"/>
      <c r="C17" s="63"/>
      <c r="D17" s="63"/>
      <c r="E17" s="63"/>
      <c r="F17" s="63"/>
      <c r="G17" s="63"/>
      <c r="I17" s="15" t="s">
        <v>135</v>
      </c>
      <c r="J17" s="65">
        <v>-73.7</v>
      </c>
      <c r="K17" s="66">
        <f>SUM(J17)/SUM(J14)*K14</f>
        <v>-88.912322248569964</v>
      </c>
      <c r="L17" s="66">
        <f t="shared" ref="L17:O17" si="10">SUM(K17)/SUM(K14)*L14</f>
        <v>-108.26284802909996</v>
      </c>
      <c r="M17" s="66">
        <f t="shared" si="10"/>
        <v>-125.91367368394909</v>
      </c>
      <c r="N17" s="66">
        <f t="shared" si="10"/>
        <v>-143.60520160562481</v>
      </c>
      <c r="O17" s="66">
        <f t="shared" si="10"/>
        <v>-163.36414709157862</v>
      </c>
      <c r="Q17" s="15" t="s">
        <v>88</v>
      </c>
      <c r="R17" s="65">
        <v>442.8</v>
      </c>
      <c r="S17" s="66">
        <f>+R17*1.5</f>
        <v>664.2</v>
      </c>
      <c r="T17" s="66">
        <f t="shared" ref="T17:W17" si="11">+S17*1.5</f>
        <v>996.30000000000007</v>
      </c>
      <c r="U17" s="66">
        <f t="shared" si="11"/>
        <v>1494.45</v>
      </c>
      <c r="V17" s="66">
        <f t="shared" si="11"/>
        <v>2241.6750000000002</v>
      </c>
      <c r="W17" s="66">
        <f t="shared" si="11"/>
        <v>3362.5125000000003</v>
      </c>
    </row>
    <row r="18" spans="1:30" x14ac:dyDescent="0.25">
      <c r="A18" s="5"/>
      <c r="B18" s="51"/>
      <c r="C18" s="51"/>
      <c r="D18" s="51"/>
      <c r="E18" s="51"/>
      <c r="F18" s="51"/>
      <c r="G18" s="51"/>
      <c r="I18" s="15" t="s">
        <v>116</v>
      </c>
      <c r="J18" s="65">
        <v>-484.6</v>
      </c>
      <c r="K18" s="66">
        <f>-595+100</f>
        <v>-495</v>
      </c>
      <c r="L18" s="66">
        <v>-624.90530876227274</v>
      </c>
      <c r="M18" s="66">
        <f>-1459.89329278549+750</f>
        <v>-709.89329278549008</v>
      </c>
      <c r="N18" s="66">
        <f>-2568.74146696922+1900</f>
        <v>-668.7414669692198</v>
      </c>
      <c r="O18" s="66">
        <f>-4060.73653671049+2800</f>
        <v>-1260.7365367104899</v>
      </c>
      <c r="Q18" s="15" t="s">
        <v>93</v>
      </c>
      <c r="R18" s="65">
        <v>4033.9</v>
      </c>
      <c r="S18" s="66">
        <f>+R18*(1.11)</f>
        <v>4477.6290000000008</v>
      </c>
      <c r="T18" s="66">
        <f>+S18*(1.11)</f>
        <v>4970.1681900000012</v>
      </c>
      <c r="U18" s="66">
        <f>+T18*(1.11)</f>
        <v>5516.8866909000017</v>
      </c>
      <c r="V18" s="66">
        <f>+U18*(1.11)</f>
        <v>6123.7442268990026</v>
      </c>
      <c r="W18" s="66">
        <f>+V18*(1.11)</f>
        <v>6797.3560918578933</v>
      </c>
    </row>
    <row r="19" spans="1:30" x14ac:dyDescent="0.25">
      <c r="A19" s="15" t="s">
        <v>73</v>
      </c>
      <c r="B19" s="65">
        <f>-615.9+18.3</f>
        <v>-597.6</v>
      </c>
      <c r="C19" s="66">
        <f>SUM(B19/B8)*C8-58.9</f>
        <v>-761.08</v>
      </c>
      <c r="D19" s="66">
        <f>SUM(C19/C8)*D8</f>
        <v>-894.67382978723401</v>
      </c>
      <c r="E19" s="66">
        <f t="shared" ref="E19:F19" si="12">SUM(D19/D8)*E8</f>
        <v>-1052.1931</v>
      </c>
      <c r="F19" s="66">
        <f t="shared" si="12"/>
        <v>-1238.0038998936168</v>
      </c>
      <c r="G19" s="66">
        <f>SUM(F19/F8)*G8</f>
        <v>-1457.2826867499996</v>
      </c>
      <c r="I19" s="15" t="s">
        <v>117</v>
      </c>
      <c r="J19" s="65">
        <v>0.3</v>
      </c>
      <c r="K19" s="66"/>
      <c r="L19" s="66"/>
      <c r="M19" s="66"/>
      <c r="N19" s="66"/>
      <c r="O19" s="66"/>
      <c r="Q19" s="15" t="s">
        <v>94</v>
      </c>
      <c r="R19" s="65">
        <v>1.6</v>
      </c>
      <c r="S19" s="66">
        <f>+R19</f>
        <v>1.6</v>
      </c>
      <c r="T19" s="66">
        <f t="shared" ref="T19:W19" si="13">+S19</f>
        <v>1.6</v>
      </c>
      <c r="U19" s="66">
        <f t="shared" si="13"/>
        <v>1.6</v>
      </c>
      <c r="V19" s="66">
        <f t="shared" si="13"/>
        <v>1.6</v>
      </c>
      <c r="W19" s="66">
        <f t="shared" si="13"/>
        <v>1.6</v>
      </c>
    </row>
    <row r="20" spans="1:30" x14ac:dyDescent="0.25">
      <c r="A20" s="15" t="s">
        <v>141</v>
      </c>
      <c r="B20" s="65">
        <v>-18.3</v>
      </c>
      <c r="C20" s="66">
        <f>-Assumptions!C45-Assumptions!C60</f>
        <v>-20.937129427494462</v>
      </c>
      <c r="D20" s="66">
        <f>-Assumptions!D45-Assumptions!D60</f>
        <v>-25.087621344070818</v>
      </c>
      <c r="E20" s="66">
        <f>-Assumptions!E45-Assumptions!E60</f>
        <v>-29.769281476085069</v>
      </c>
      <c r="F20" s="66">
        <f>-Assumptions!F45-Assumptions!F60</f>
        <v>-34.508813441406346</v>
      </c>
      <c r="G20" s="66">
        <f>-Assumptions!G45-Assumptions!G60</f>
        <v>-39.599915529692566</v>
      </c>
      <c r="I20" s="15" t="s">
        <v>118</v>
      </c>
      <c r="J20" s="65">
        <v>2.1</v>
      </c>
      <c r="K20" s="66"/>
      <c r="L20" s="66"/>
      <c r="M20" s="66"/>
      <c r="N20" s="66"/>
      <c r="O20" s="66"/>
      <c r="Q20" s="15" t="s">
        <v>95</v>
      </c>
      <c r="R20" s="77">
        <v>10479.200000000001</v>
      </c>
      <c r="S20" s="68">
        <f>+K49</f>
        <v>15372.734212517367</v>
      </c>
      <c r="T20" s="68">
        <f t="shared" ref="T20:W20" si="14">+L49</f>
        <v>22077.462886269448</v>
      </c>
      <c r="U20" s="68">
        <f t="shared" si="14"/>
        <v>31141.618655048591</v>
      </c>
      <c r="V20" s="68">
        <f t="shared" si="14"/>
        <v>43499.784684177925</v>
      </c>
      <c r="W20" s="68">
        <f t="shared" si="14"/>
        <v>60318.652117984755</v>
      </c>
    </row>
    <row r="21" spans="1:30" x14ac:dyDescent="0.25">
      <c r="A21" s="15" t="s">
        <v>74</v>
      </c>
      <c r="B21" s="65">
        <v>19.7</v>
      </c>
      <c r="C21" s="66">
        <f>+B21</f>
        <v>19.7</v>
      </c>
      <c r="D21" s="66">
        <f t="shared" ref="D21:G21" si="15">+C21</f>
        <v>19.7</v>
      </c>
      <c r="E21" s="66">
        <f t="shared" si="15"/>
        <v>19.7</v>
      </c>
      <c r="F21" s="66">
        <f t="shared" si="15"/>
        <v>19.7</v>
      </c>
      <c r="G21" s="66">
        <f t="shared" si="15"/>
        <v>19.7</v>
      </c>
      <c r="I21" s="5" t="s">
        <v>119</v>
      </c>
      <c r="J21" s="65"/>
      <c r="K21" s="66"/>
      <c r="L21" s="66"/>
      <c r="M21" s="66"/>
      <c r="N21" s="66"/>
      <c r="O21" s="66"/>
      <c r="Q21" s="5" t="s">
        <v>27</v>
      </c>
      <c r="R21" s="52">
        <f t="shared" ref="R21:W21" si="16">SUM(R16:R20)</f>
        <v>14961.5</v>
      </c>
      <c r="S21" s="52">
        <f t="shared" si="16"/>
        <v>20520.163212517367</v>
      </c>
      <c r="T21" s="52">
        <f t="shared" si="16"/>
        <v>28049.53107626945</v>
      </c>
      <c r="U21" s="52">
        <f t="shared" si="16"/>
        <v>38158.555345948596</v>
      </c>
      <c r="V21" s="52">
        <f t="shared" si="16"/>
        <v>51870.803911076931</v>
      </c>
      <c r="W21" s="52">
        <f t="shared" si="16"/>
        <v>70484.120709842653</v>
      </c>
    </row>
    <row r="22" spans="1:30" x14ac:dyDescent="0.25">
      <c r="A22" s="15" t="s">
        <v>75</v>
      </c>
      <c r="B22" s="67">
        <v>5.7</v>
      </c>
      <c r="C22" s="68">
        <f>+B22</f>
        <v>5.7</v>
      </c>
      <c r="D22" s="68">
        <f t="shared" ref="D22:G22" si="17">+C22</f>
        <v>5.7</v>
      </c>
      <c r="E22" s="68">
        <f t="shared" si="17"/>
        <v>5.7</v>
      </c>
      <c r="F22" s="68">
        <f t="shared" si="17"/>
        <v>5.7</v>
      </c>
      <c r="G22" s="68">
        <f t="shared" si="17"/>
        <v>5.7</v>
      </c>
      <c r="I22" s="15" t="s">
        <v>120</v>
      </c>
      <c r="J22" s="65">
        <v>-119.2</v>
      </c>
      <c r="K22" s="66">
        <f>SUM(J22/R17)*S17+SUM(R12-S12)</f>
        <v>-185.5</v>
      </c>
      <c r="L22" s="66">
        <f t="shared" ref="L22:O22" si="18">SUM(K22/S17)*T17+SUM(S12-T12)</f>
        <v>-274.89999999999998</v>
      </c>
      <c r="M22" s="66">
        <f t="shared" si="18"/>
        <v>-414.02499999999998</v>
      </c>
      <c r="N22" s="66">
        <f t="shared" si="18"/>
        <v>-620.20000000000005</v>
      </c>
      <c r="O22" s="66">
        <f t="shared" si="18"/>
        <v>-930.71875000000023</v>
      </c>
      <c r="Q22" s="5" t="s">
        <v>28</v>
      </c>
      <c r="R22" s="52">
        <f t="shared" ref="R22:W22" si="19">+R21+R13</f>
        <v>15137.4</v>
      </c>
      <c r="S22" s="52">
        <f>+S21+S13</f>
        <v>20699.327859685618</v>
      </c>
      <c r="T22" s="52">
        <f t="shared" si="19"/>
        <v>28227.937190391502</v>
      </c>
      <c r="U22" s="52">
        <f t="shared" si="19"/>
        <v>38335.97049379137</v>
      </c>
      <c r="V22" s="52">
        <f t="shared" si="19"/>
        <v>52046.009070450644</v>
      </c>
      <c r="W22" s="52">
        <f t="shared" si="19"/>
        <v>70657.542053151876</v>
      </c>
      <c r="AD22" s="80"/>
    </row>
    <row r="23" spans="1:30" x14ac:dyDescent="0.25">
      <c r="A23" s="5" t="s">
        <v>76</v>
      </c>
      <c r="B23" s="52">
        <f>SUM(B19:B22)+B14</f>
        <v>501.9000000000002</v>
      </c>
      <c r="C23" s="52">
        <f t="shared" ref="C23:G23" si="20">SUM(C19:C22)+C14</f>
        <v>687.53540249742525</v>
      </c>
      <c r="D23" s="52">
        <f t="shared" si="20"/>
        <v>779.08061756895415</v>
      </c>
      <c r="E23" s="52">
        <f t="shared" si="20"/>
        <v>884.53900820926401</v>
      </c>
      <c r="F23" s="52">
        <f t="shared" si="20"/>
        <v>1005.6214362866851</v>
      </c>
      <c r="G23" s="52">
        <f t="shared" si="20"/>
        <v>1142.4099841667116</v>
      </c>
      <c r="I23" s="15" t="s">
        <v>121</v>
      </c>
      <c r="J23" s="65">
        <v>58</v>
      </c>
      <c r="K23" s="66">
        <f>SUM(S31-R31)*0.03</f>
        <v>152.90966490614929</v>
      </c>
      <c r="L23" s="66">
        <f t="shared" ref="L23:O23" si="21">SUM(T31-S31)*0.03</f>
        <v>209.09042669419551</v>
      </c>
      <c r="M23" s="66">
        <f t="shared" si="21"/>
        <v>285.91264366443977</v>
      </c>
      <c r="N23" s="66">
        <f t="shared" si="21"/>
        <v>390.96022280707427</v>
      </c>
      <c r="O23" s="66">
        <f t="shared" si="21"/>
        <v>534.6034853804814</v>
      </c>
      <c r="Q23" s="5" t="s">
        <v>96</v>
      </c>
      <c r="R23" s="51"/>
      <c r="S23" s="51"/>
      <c r="T23" s="51"/>
      <c r="U23" s="51"/>
      <c r="V23" s="51"/>
      <c r="W23" s="51"/>
    </row>
    <row r="24" spans="1:30" x14ac:dyDescent="0.25">
      <c r="A24" s="5"/>
      <c r="B24" s="51"/>
      <c r="C24" s="51"/>
      <c r="D24" s="51"/>
      <c r="E24" s="51"/>
      <c r="F24" s="51"/>
      <c r="G24" s="51"/>
      <c r="I24" s="15" t="s">
        <v>122</v>
      </c>
      <c r="J24" s="65">
        <v>-72.7</v>
      </c>
      <c r="K24" s="66">
        <f>-S17+R17-K22</f>
        <v>-35.900000000000034</v>
      </c>
      <c r="L24" s="66">
        <f t="shared" ref="L24:O24" si="22">-T17+S17-L22</f>
        <v>-57.200000000000045</v>
      </c>
      <c r="M24" s="66">
        <f t="shared" si="22"/>
        <v>-84.125</v>
      </c>
      <c r="N24" s="66">
        <f t="shared" si="22"/>
        <v>-127.02500000000009</v>
      </c>
      <c r="O24" s="66">
        <f t="shared" si="22"/>
        <v>-190.11874999999986</v>
      </c>
      <c r="Q24" s="15" t="s">
        <v>97</v>
      </c>
      <c r="R24" s="65">
        <v>46.1</v>
      </c>
      <c r="S24" s="66">
        <v>45.8</v>
      </c>
      <c r="T24" s="66">
        <f>AVERAGE(R24:S24)</f>
        <v>45.95</v>
      </c>
      <c r="U24" s="66">
        <f t="shared" ref="U24:W24" si="23">AVERAGE(S24:T24)</f>
        <v>45.875</v>
      </c>
      <c r="V24" s="66">
        <f t="shared" si="23"/>
        <v>45.912500000000001</v>
      </c>
      <c r="W24" s="66">
        <f t="shared" si="23"/>
        <v>45.893749999999997</v>
      </c>
    </row>
    <row r="25" spans="1:30" x14ac:dyDescent="0.25">
      <c r="A25" s="15" t="s">
        <v>77</v>
      </c>
      <c r="B25" s="53">
        <v>-20.5</v>
      </c>
      <c r="C25" s="68">
        <f>-Assumptions!C98-10</f>
        <v>-14.911874017764193</v>
      </c>
      <c r="D25" s="68">
        <f>-Assumptions!D98-10</f>
        <v>-19.09240260833613</v>
      </c>
      <c r="E25" s="68">
        <f>-Assumptions!E98-10</f>
        <v>-18.006914688246727</v>
      </c>
      <c r="F25" s="68">
        <f>-Assumptions!F98-10</f>
        <v>-17.337063771449017</v>
      </c>
      <c r="G25" s="68">
        <f>-Assumptions!G98-10</f>
        <v>-18.145460356010624</v>
      </c>
      <c r="I25" s="15" t="s">
        <v>123</v>
      </c>
      <c r="J25" s="65">
        <v>228.6</v>
      </c>
      <c r="K25" s="66">
        <f>SUM(S31-R31)*0.07</f>
        <v>356.78921811434839</v>
      </c>
      <c r="L25" s="66">
        <f t="shared" ref="L25:O25" si="24">SUM(T31-S31)*0.07</f>
        <v>487.87766228645626</v>
      </c>
      <c r="M25" s="66">
        <f t="shared" si="24"/>
        <v>667.12950188369291</v>
      </c>
      <c r="N25" s="66">
        <f t="shared" si="24"/>
        <v>912.24051988317353</v>
      </c>
      <c r="O25" s="66">
        <f t="shared" si="24"/>
        <v>1247.4081325544569</v>
      </c>
      <c r="Q25" s="15" t="s">
        <v>36</v>
      </c>
      <c r="R25" s="65">
        <v>2.2999999999999998</v>
      </c>
      <c r="S25" s="66">
        <f>+R25</f>
        <v>2.2999999999999998</v>
      </c>
      <c r="T25" s="66">
        <f t="shared" ref="T25:W26" si="25">+S25</f>
        <v>2.2999999999999998</v>
      </c>
      <c r="U25" s="66">
        <f t="shared" si="25"/>
        <v>2.2999999999999998</v>
      </c>
      <c r="V25" s="66">
        <f t="shared" si="25"/>
        <v>2.2999999999999998</v>
      </c>
      <c r="W25" s="66">
        <f t="shared" si="25"/>
        <v>2.2999999999999998</v>
      </c>
    </row>
    <row r="26" spans="1:30" x14ac:dyDescent="0.25">
      <c r="A26" s="5" t="s">
        <v>78</v>
      </c>
      <c r="B26" s="52">
        <f>+B23+B25</f>
        <v>481.4000000000002</v>
      </c>
      <c r="C26" s="52">
        <f t="shared" ref="C26:G26" si="26">+C23+C25</f>
        <v>672.6235284796611</v>
      </c>
      <c r="D26" s="52">
        <f t="shared" si="26"/>
        <v>759.98821496061805</v>
      </c>
      <c r="E26" s="52">
        <f t="shared" si="26"/>
        <v>866.53209352101726</v>
      </c>
      <c r="F26" s="52">
        <f t="shared" si="26"/>
        <v>988.2843725152361</v>
      </c>
      <c r="G26" s="52">
        <f t="shared" si="26"/>
        <v>1124.2645238107011</v>
      </c>
      <c r="I26" s="15" t="s">
        <v>124</v>
      </c>
      <c r="J26" s="67">
        <v>2788.7</v>
      </c>
      <c r="K26" s="68">
        <f>SUM(S31-R31)*0.9</f>
        <v>4587.2899471844794</v>
      </c>
      <c r="L26" s="68">
        <f>SUM(T31-S31)*0.9</f>
        <v>6272.712800825866</v>
      </c>
      <c r="M26" s="68">
        <f t="shared" ref="M26:O26" si="27">SUM(U31-T31)*0.9</f>
        <v>8577.3793099331942</v>
      </c>
      <c r="N26" s="68">
        <f t="shared" si="27"/>
        <v>11728.80668421223</v>
      </c>
      <c r="O26" s="68">
        <f t="shared" si="27"/>
        <v>16038.104561414444</v>
      </c>
      <c r="Q26" s="15" t="s">
        <v>98</v>
      </c>
      <c r="R26" s="65">
        <v>2.4</v>
      </c>
      <c r="S26" s="66">
        <f>+R26</f>
        <v>2.4</v>
      </c>
      <c r="T26" s="66">
        <f t="shared" si="25"/>
        <v>2.4</v>
      </c>
      <c r="U26" s="66">
        <f t="shared" si="25"/>
        <v>2.4</v>
      </c>
      <c r="V26" s="66">
        <f t="shared" si="25"/>
        <v>2.4</v>
      </c>
      <c r="W26" s="66">
        <f t="shared" si="25"/>
        <v>2.4</v>
      </c>
    </row>
    <row r="27" spans="1:30" x14ac:dyDescent="0.25">
      <c r="A27" s="5"/>
      <c r="B27" s="63"/>
      <c r="C27" s="63"/>
      <c r="D27" s="63"/>
      <c r="E27" s="63"/>
      <c r="F27" s="63"/>
      <c r="G27" s="63"/>
      <c r="I27" s="5" t="s">
        <v>125</v>
      </c>
      <c r="J27" s="52">
        <f t="shared" ref="J27:O27" si="28">SUM(J8:J26)</f>
        <v>3248.8999999999996</v>
      </c>
      <c r="K27" s="52">
        <f t="shared" si="28"/>
        <v>5444.5206485887857</v>
      </c>
      <c r="L27" s="52">
        <f t="shared" si="28"/>
        <v>7301.0718841656653</v>
      </c>
      <c r="M27" s="52">
        <f t="shared" si="28"/>
        <v>9909.7154603730596</v>
      </c>
      <c r="N27" s="52">
        <f t="shared" si="28"/>
        <v>13589.729126249274</v>
      </c>
      <c r="O27" s="52">
        <f t="shared" si="28"/>
        <v>17909.425702588353</v>
      </c>
      <c r="Q27" s="15" t="s">
        <v>99</v>
      </c>
      <c r="R27" s="77">
        <v>14.8</v>
      </c>
      <c r="S27" s="68">
        <f>+Assumptions!C73-Assumptions!C98</f>
        <v>81.288125982235812</v>
      </c>
      <c r="T27" s="68">
        <f>+Assumptions!D73</f>
        <v>40.733333333333334</v>
      </c>
      <c r="U27" s="68">
        <f>+Assumptions!E73</f>
        <v>49.477777777777781</v>
      </c>
      <c r="V27" s="68">
        <f>+Assumptions!F73</f>
        <v>58.803703703703711</v>
      </c>
      <c r="W27" s="68">
        <f>+Assumptions!G73</f>
        <v>49.671604938271606</v>
      </c>
    </row>
    <row r="28" spans="1:30" ht="15.75" x14ac:dyDescent="0.25">
      <c r="A28" s="15" t="s">
        <v>79</v>
      </c>
      <c r="B28" s="51">
        <v>-126.8</v>
      </c>
      <c r="C28" s="66">
        <f>SUM(B28/SUM(B8:B11))*SUM(C8:C11)</f>
        <v>-152.97262498125741</v>
      </c>
      <c r="D28" s="66">
        <f t="shared" ref="D28" si="29">SUM(C28/SUM(C8:C11))*SUM(D8:D11)</f>
        <v>-186.26498141234563</v>
      </c>
      <c r="E28" s="66">
        <f>-E26*0.25</f>
        <v>-216.63302338025431</v>
      </c>
      <c r="F28" s="66">
        <f t="shared" ref="F28:G28" si="30">-F26*0.25</f>
        <v>-247.07109312880903</v>
      </c>
      <c r="G28" s="66">
        <f t="shared" si="30"/>
        <v>-281.06613095267528</v>
      </c>
      <c r="I28" s="11"/>
      <c r="J28" s="51"/>
      <c r="K28" s="51"/>
      <c r="L28" s="51"/>
      <c r="M28" s="51"/>
      <c r="N28" s="51"/>
      <c r="O28" s="51"/>
      <c r="Q28" s="5" t="s">
        <v>100</v>
      </c>
      <c r="R28" s="52">
        <f>SUM(R24:R27)</f>
        <v>65.599999999999994</v>
      </c>
      <c r="S28" s="52">
        <f t="shared" ref="S28:V28" si="31">SUM(S24:S27)</f>
        <v>131.78812598223581</v>
      </c>
      <c r="T28" s="52">
        <f t="shared" si="31"/>
        <v>91.383333333333326</v>
      </c>
      <c r="U28" s="52">
        <f t="shared" si="31"/>
        <v>100.05277777777778</v>
      </c>
      <c r="V28" s="52">
        <f t="shared" si="31"/>
        <v>109.4162037037037</v>
      </c>
      <c r="W28" s="52">
        <f t="shared" ref="W28" si="32">SUM(W24:W27)</f>
        <v>100.2653549382716</v>
      </c>
    </row>
    <row r="29" spans="1:30" x14ac:dyDescent="0.25">
      <c r="A29" s="15"/>
      <c r="B29" s="53"/>
      <c r="C29" s="53"/>
      <c r="D29" s="53"/>
      <c r="E29" s="53"/>
      <c r="F29" s="53"/>
      <c r="G29" s="53"/>
      <c r="I29" s="5" t="s">
        <v>37</v>
      </c>
      <c r="J29" s="51"/>
      <c r="K29" s="51"/>
      <c r="L29" s="51"/>
      <c r="M29" s="51"/>
      <c r="N29" s="51"/>
      <c r="O29" s="51"/>
      <c r="Q29" s="5"/>
      <c r="R29" s="51"/>
      <c r="S29" s="51"/>
      <c r="T29" s="51"/>
      <c r="U29" s="51"/>
      <c r="V29" s="51"/>
      <c r="W29" s="51"/>
    </row>
    <row r="30" spans="1:30" x14ac:dyDescent="0.25">
      <c r="A30" s="5" t="s">
        <v>80</v>
      </c>
      <c r="B30" s="52">
        <f>+B26+B28</f>
        <v>354.60000000000019</v>
      </c>
      <c r="C30" s="52">
        <f t="shared" ref="C30:G30" si="33">+C26+C28</f>
        <v>519.65090349840375</v>
      </c>
      <c r="D30" s="52">
        <f t="shared" si="33"/>
        <v>573.72323354827245</v>
      </c>
      <c r="E30" s="52">
        <f t="shared" si="33"/>
        <v>649.89907014076289</v>
      </c>
      <c r="F30" s="52">
        <f t="shared" si="33"/>
        <v>741.21327938642708</v>
      </c>
      <c r="G30" s="52">
        <f t="shared" si="33"/>
        <v>843.19839285802584</v>
      </c>
      <c r="I30" s="15" t="s">
        <v>126</v>
      </c>
      <c r="J30" s="65">
        <v>-10.6</v>
      </c>
      <c r="K30" s="66">
        <f>-Assumptions!C34</f>
        <v>-10.097872340425528</v>
      </c>
      <c r="L30" s="66">
        <f>-Assumptions!D34</f>
        <v>-17.898936170212764</v>
      </c>
      <c r="M30" s="66">
        <f>-Assumptions!E34</f>
        <v>-13.998404255319146</v>
      </c>
      <c r="N30" s="66">
        <f>-Assumptions!F34</f>
        <v>-15.948670212765954</v>
      </c>
      <c r="O30" s="66">
        <f>-Assumptions!G34</f>
        <v>-14.973537234042549</v>
      </c>
      <c r="Q30" s="5" t="s">
        <v>101</v>
      </c>
      <c r="R30" s="51"/>
      <c r="S30" s="51"/>
      <c r="T30" s="51"/>
      <c r="U30" s="51"/>
      <c r="V30" s="51"/>
      <c r="W30" s="51"/>
    </row>
    <row r="31" spans="1:30" x14ac:dyDescent="0.25">
      <c r="A31" s="15"/>
      <c r="B31" s="63"/>
      <c r="C31" s="63"/>
      <c r="D31" s="63"/>
      <c r="E31" s="63"/>
      <c r="F31" s="63"/>
      <c r="G31" s="63"/>
      <c r="I31" s="15" t="s">
        <v>127</v>
      </c>
      <c r="J31" s="65">
        <v>-2.4</v>
      </c>
      <c r="K31" s="66">
        <f>-Assumptions!C60</f>
        <v>-8.7806711333878891</v>
      </c>
      <c r="L31" s="66">
        <f>-Assumptions!D60</f>
        <v>-10.762404812344213</v>
      </c>
      <c r="M31" s="66">
        <f>-Assumptions!E60</f>
        <v>-12.947385882034984</v>
      </c>
      <c r="N31" s="66">
        <f>-Assumptions!F60</f>
        <v>-15.354199197384505</v>
      </c>
      <c r="O31" s="66">
        <f>-Assumptions!G60</f>
        <v>-18.03060242952311</v>
      </c>
      <c r="Q31" s="15" t="s">
        <v>97</v>
      </c>
      <c r="R31" s="65">
        <v>13872.7</v>
      </c>
      <c r="S31" s="66">
        <f>+R31*(Assumptions!$M$25+1)</f>
        <v>18969.688830204977</v>
      </c>
      <c r="T31" s="66">
        <f>+S31*(Assumptions!$M$25+1)</f>
        <v>25939.369720011495</v>
      </c>
      <c r="U31" s="66">
        <f>+T31*(Assumptions!$M$25+1)</f>
        <v>35469.791175492821</v>
      </c>
      <c r="V31" s="66">
        <f>+U31*(Assumptions!$M$25+1)</f>
        <v>48501.798602395298</v>
      </c>
      <c r="W31" s="66">
        <f>+V31*(Assumptions!$M$25+1)</f>
        <v>66321.914781744679</v>
      </c>
    </row>
    <row r="32" spans="1:30" x14ac:dyDescent="0.25">
      <c r="A32" s="5" t="s">
        <v>21</v>
      </c>
      <c r="B32" s="51"/>
      <c r="C32" s="51"/>
      <c r="D32" s="51"/>
      <c r="E32" s="51"/>
      <c r="F32" s="51"/>
      <c r="G32" s="51"/>
      <c r="I32" s="15" t="s">
        <v>176</v>
      </c>
      <c r="J32" s="65">
        <f>-9552.3+9422.6</f>
        <v>-129.69999999999891</v>
      </c>
      <c r="K32" s="66">
        <f>+R18-S18</f>
        <v>-443.72900000000072</v>
      </c>
      <c r="L32" s="66">
        <f t="shared" ref="L32:O32" si="34">+S18-T18</f>
        <v>-492.53919000000042</v>
      </c>
      <c r="M32" s="66">
        <f t="shared" si="34"/>
        <v>-546.71850090000044</v>
      </c>
      <c r="N32" s="66">
        <f t="shared" si="34"/>
        <v>-606.8575359990009</v>
      </c>
      <c r="O32" s="66">
        <f t="shared" si="34"/>
        <v>-673.61186495889069</v>
      </c>
      <c r="Q32" s="15" t="s">
        <v>102</v>
      </c>
      <c r="R32" s="65">
        <v>1.6</v>
      </c>
      <c r="S32" s="66">
        <f>+R32</f>
        <v>1.6</v>
      </c>
      <c r="T32" s="66">
        <f t="shared" ref="T32:W32" si="35">+S32</f>
        <v>1.6</v>
      </c>
      <c r="U32" s="66">
        <f t="shared" si="35"/>
        <v>1.6</v>
      </c>
      <c r="V32" s="66">
        <f t="shared" si="35"/>
        <v>1.6</v>
      </c>
      <c r="W32" s="66">
        <f t="shared" si="35"/>
        <v>1.6</v>
      </c>
    </row>
    <row r="33" spans="1:23" x14ac:dyDescent="0.25">
      <c r="A33" s="15" t="s">
        <v>81</v>
      </c>
      <c r="B33" s="51"/>
      <c r="C33" s="51"/>
      <c r="D33" s="51"/>
      <c r="E33" s="51"/>
      <c r="F33" s="51"/>
      <c r="G33" s="51"/>
      <c r="I33" s="15"/>
      <c r="J33" s="65">
        <v>0</v>
      </c>
      <c r="K33" s="66"/>
      <c r="L33" s="66"/>
      <c r="M33" s="66"/>
      <c r="N33" s="66"/>
      <c r="O33" s="66"/>
      <c r="Q33" s="15" t="s">
        <v>36</v>
      </c>
      <c r="R33" s="65">
        <v>2.2000000000000002</v>
      </c>
      <c r="S33" s="66">
        <f>+R33</f>
        <v>2.2000000000000002</v>
      </c>
      <c r="T33" s="66">
        <f t="shared" ref="T33:W33" si="36">+S33</f>
        <v>2.2000000000000002</v>
      </c>
      <c r="U33" s="66">
        <f t="shared" si="36"/>
        <v>2.2000000000000002</v>
      </c>
      <c r="V33" s="66">
        <f t="shared" si="36"/>
        <v>2.2000000000000002</v>
      </c>
      <c r="W33" s="66">
        <f t="shared" si="36"/>
        <v>2.2000000000000002</v>
      </c>
    </row>
    <row r="34" spans="1:23" x14ac:dyDescent="0.25">
      <c r="A34" s="15" t="s">
        <v>82</v>
      </c>
      <c r="B34" s="51">
        <v>10.9</v>
      </c>
      <c r="C34" s="66">
        <f>+B34</f>
        <v>10.9</v>
      </c>
      <c r="D34" s="66">
        <f t="shared" ref="D34:G34" si="37">+C34</f>
        <v>10.9</v>
      </c>
      <c r="E34" s="66">
        <f t="shared" si="37"/>
        <v>10.9</v>
      </c>
      <c r="F34" s="66">
        <f t="shared" si="37"/>
        <v>10.9</v>
      </c>
      <c r="G34" s="66">
        <f t="shared" si="37"/>
        <v>10.9</v>
      </c>
      <c r="I34" s="15" t="s">
        <v>128</v>
      </c>
      <c r="J34" s="67">
        <v>0.1</v>
      </c>
      <c r="K34" s="68"/>
      <c r="L34" s="68"/>
      <c r="M34" s="68"/>
      <c r="N34" s="68"/>
      <c r="O34" s="68"/>
      <c r="Q34" s="15" t="s">
        <v>103</v>
      </c>
      <c r="R34" s="65">
        <v>6</v>
      </c>
      <c r="S34" s="66">
        <f>+R34</f>
        <v>6</v>
      </c>
      <c r="T34" s="66">
        <f t="shared" ref="T34:W34" si="38">+S34</f>
        <v>6</v>
      </c>
      <c r="U34" s="66">
        <f t="shared" si="38"/>
        <v>6</v>
      </c>
      <c r="V34" s="66">
        <f t="shared" si="38"/>
        <v>6</v>
      </c>
      <c r="W34" s="66">
        <f t="shared" si="38"/>
        <v>6</v>
      </c>
    </row>
    <row r="35" spans="1:23" x14ac:dyDescent="0.25">
      <c r="A35" s="15" t="s">
        <v>83</v>
      </c>
      <c r="B35" s="53">
        <v>-7</v>
      </c>
      <c r="C35" s="68">
        <f>+B35</f>
        <v>-7</v>
      </c>
      <c r="D35" s="68">
        <f t="shared" ref="D35:G35" si="39">+C35</f>
        <v>-7</v>
      </c>
      <c r="E35" s="68">
        <f t="shared" si="39"/>
        <v>-7</v>
      </c>
      <c r="F35" s="68">
        <f t="shared" si="39"/>
        <v>-7</v>
      </c>
      <c r="G35" s="68">
        <f t="shared" si="39"/>
        <v>-7</v>
      </c>
      <c r="I35" s="5" t="s">
        <v>129</v>
      </c>
      <c r="J35" s="52">
        <f>SUM(J30:J34)</f>
        <v>-142.59999999999891</v>
      </c>
      <c r="K35" s="52">
        <f t="shared" ref="K35:O35" si="40">SUM(K30:K34)</f>
        <v>-462.60754347381413</v>
      </c>
      <c r="L35" s="52">
        <f t="shared" si="40"/>
        <v>-521.20053098255744</v>
      </c>
      <c r="M35" s="52">
        <f t="shared" si="40"/>
        <v>-573.66429103735459</v>
      </c>
      <c r="N35" s="52">
        <f t="shared" si="40"/>
        <v>-638.16040540915139</v>
      </c>
      <c r="O35" s="52">
        <f t="shared" si="40"/>
        <v>-706.61600462245633</v>
      </c>
      <c r="Q35" s="15" t="s">
        <v>99</v>
      </c>
      <c r="R35" s="77">
        <v>209.4</v>
      </c>
      <c r="S35" s="68">
        <f>+Assumptions!C69</f>
        <v>99.4</v>
      </c>
      <c r="T35" s="68">
        <f>+Assumptions!D69</f>
        <v>184</v>
      </c>
      <c r="U35" s="68">
        <f>+Assumptions!E69</f>
        <v>162.03333333333333</v>
      </c>
      <c r="V35" s="68">
        <f>+Assumptions!F69</f>
        <v>148.47777777777776</v>
      </c>
      <c r="W35" s="68">
        <f>+Assumptions!G69</f>
        <v>164.83703703703702</v>
      </c>
    </row>
    <row r="36" spans="1:23" ht="15.75" x14ac:dyDescent="0.25">
      <c r="A36" s="5" t="s">
        <v>84</v>
      </c>
      <c r="B36" s="52">
        <f>+B34+B35</f>
        <v>3.9000000000000004</v>
      </c>
      <c r="C36" s="52">
        <f t="shared" ref="C36:G36" si="41">+C34+C35</f>
        <v>3.9000000000000004</v>
      </c>
      <c r="D36" s="52">
        <f t="shared" si="41"/>
        <v>3.9000000000000004</v>
      </c>
      <c r="E36" s="52">
        <f t="shared" si="41"/>
        <v>3.9000000000000004</v>
      </c>
      <c r="F36" s="52">
        <f t="shared" si="41"/>
        <v>3.9000000000000004</v>
      </c>
      <c r="G36" s="52">
        <f t="shared" si="41"/>
        <v>3.9000000000000004</v>
      </c>
      <c r="I36" s="11"/>
      <c r="J36" s="51"/>
      <c r="K36" s="51"/>
      <c r="L36" s="51"/>
      <c r="M36" s="51"/>
      <c r="N36" s="51"/>
      <c r="O36" s="51"/>
      <c r="Q36" s="5" t="s">
        <v>29</v>
      </c>
      <c r="R36" s="52">
        <f t="shared" ref="R36:W36" si="42">SUM(R31:R35)</f>
        <v>14091.900000000001</v>
      </c>
      <c r="S36" s="52">
        <f t="shared" si="42"/>
        <v>19078.888830204978</v>
      </c>
      <c r="T36" s="52">
        <f t="shared" si="42"/>
        <v>26133.169720011494</v>
      </c>
      <c r="U36" s="52">
        <f t="shared" si="42"/>
        <v>35641.624508826149</v>
      </c>
      <c r="V36" s="52">
        <f t="shared" si="42"/>
        <v>48660.076380173072</v>
      </c>
      <c r="W36" s="52">
        <f t="shared" si="42"/>
        <v>66496.551818781722</v>
      </c>
    </row>
    <row r="37" spans="1:23" x14ac:dyDescent="0.25">
      <c r="A37" s="5"/>
      <c r="B37" s="51"/>
      <c r="C37" s="51"/>
      <c r="D37" s="51"/>
      <c r="E37" s="51"/>
      <c r="F37" s="51"/>
      <c r="G37" s="51"/>
      <c r="I37" s="5" t="s">
        <v>39</v>
      </c>
      <c r="J37" s="51"/>
      <c r="K37" s="51"/>
      <c r="L37" s="51"/>
      <c r="M37" s="51"/>
      <c r="N37" s="51"/>
      <c r="O37" s="51"/>
      <c r="Q37" s="5" t="s">
        <v>30</v>
      </c>
      <c r="R37" s="56">
        <f t="shared" ref="R37:W37" si="43">+R36+R28</f>
        <v>14157.500000000002</v>
      </c>
      <c r="S37" s="56">
        <f t="shared" si="43"/>
        <v>19210.676956187213</v>
      </c>
      <c r="T37" s="56">
        <f t="shared" si="43"/>
        <v>26224.553053344829</v>
      </c>
      <c r="U37" s="56">
        <f t="shared" si="43"/>
        <v>35741.677286603925</v>
      </c>
      <c r="V37" s="56">
        <f t="shared" si="43"/>
        <v>48769.492583876774</v>
      </c>
      <c r="W37" s="56">
        <f t="shared" si="43"/>
        <v>66596.817173719988</v>
      </c>
    </row>
    <row r="38" spans="1:23" x14ac:dyDescent="0.25">
      <c r="A38" s="5"/>
      <c r="B38" s="51"/>
      <c r="C38" s="51"/>
      <c r="D38" s="51"/>
      <c r="E38" s="51"/>
      <c r="F38" s="51"/>
      <c r="G38" s="51"/>
      <c r="I38" s="15" t="s">
        <v>130</v>
      </c>
      <c r="J38" s="65">
        <v>-68.400000000000006</v>
      </c>
      <c r="K38" s="66">
        <f>-8.1-72</f>
        <v>-80.099999999999994</v>
      </c>
      <c r="L38" s="66">
        <f>-72-8.1</f>
        <v>-80.099999999999994</v>
      </c>
      <c r="M38" s="66">
        <f>-72-8.1</f>
        <v>-80.099999999999994</v>
      </c>
      <c r="N38" s="66">
        <f>-72-8.1</f>
        <v>-80.099999999999994</v>
      </c>
      <c r="O38" s="66">
        <f>-72-8.1</f>
        <v>-80.099999999999994</v>
      </c>
      <c r="Q38" s="5"/>
      <c r="R38" s="51"/>
      <c r="S38" s="51"/>
      <c r="T38" s="51"/>
      <c r="U38" s="51"/>
      <c r="V38" s="51"/>
      <c r="W38" s="51"/>
    </row>
    <row r="39" spans="1:23" x14ac:dyDescent="0.25">
      <c r="A39" s="5"/>
      <c r="B39" s="51"/>
      <c r="C39" s="51"/>
      <c r="D39" s="51"/>
      <c r="E39" s="51"/>
      <c r="F39" s="51"/>
      <c r="G39" s="51"/>
      <c r="I39" s="15" t="s">
        <v>178</v>
      </c>
      <c r="J39" s="65">
        <v>1</v>
      </c>
      <c r="K39" s="66">
        <f>+J39</f>
        <v>1</v>
      </c>
      <c r="L39" s="66">
        <f t="shared" ref="L39:O39" si="44">+K39</f>
        <v>1</v>
      </c>
      <c r="M39" s="66">
        <f t="shared" si="44"/>
        <v>1</v>
      </c>
      <c r="N39" s="66">
        <f t="shared" si="44"/>
        <v>1</v>
      </c>
      <c r="O39" s="66">
        <f t="shared" si="44"/>
        <v>1</v>
      </c>
      <c r="Q39" s="5" t="s">
        <v>104</v>
      </c>
      <c r="R39" s="51"/>
      <c r="S39" s="51"/>
      <c r="T39" s="51"/>
      <c r="U39" s="51"/>
      <c r="V39" s="51"/>
      <c r="W39" s="51"/>
    </row>
    <row r="40" spans="1:23" x14ac:dyDescent="0.25">
      <c r="A40" s="5"/>
      <c r="B40" s="51"/>
      <c r="C40" s="51"/>
      <c r="D40" s="51"/>
      <c r="E40" s="51"/>
      <c r="F40" s="51"/>
      <c r="G40" s="51"/>
      <c r="I40" s="15" t="s">
        <v>177</v>
      </c>
      <c r="J40" s="65">
        <f>420-470</f>
        <v>-50</v>
      </c>
      <c r="K40" s="66">
        <f>-R35+S35-R27+S27</f>
        <v>-43.511874017764185</v>
      </c>
      <c r="L40" s="66">
        <f t="shared" ref="L40:O40" si="45">-S35+T35-S27+T27</f>
        <v>44.045207351097517</v>
      </c>
      <c r="M40" s="66">
        <f t="shared" si="45"/>
        <v>-13.222222222222221</v>
      </c>
      <c r="N40" s="66">
        <f t="shared" si="45"/>
        <v>-4.2296296296296418</v>
      </c>
      <c r="O40" s="66">
        <f t="shared" si="45"/>
        <v>7.2271604938271565</v>
      </c>
      <c r="Q40" s="15" t="s">
        <v>31</v>
      </c>
      <c r="R40" s="65">
        <v>10.199999999999999</v>
      </c>
      <c r="S40" s="66">
        <f>+R40</f>
        <v>10.199999999999999</v>
      </c>
      <c r="T40" s="66">
        <v>10.199999999999999</v>
      </c>
      <c r="U40" s="66">
        <v>10.199999999999999</v>
      </c>
      <c r="V40" s="66">
        <v>10.199999999999999</v>
      </c>
      <c r="W40" s="66">
        <v>10.199999999999999</v>
      </c>
    </row>
    <row r="41" spans="1:23" ht="15.75" thickBot="1" x14ac:dyDescent="0.3">
      <c r="A41" s="5" t="s">
        <v>22</v>
      </c>
      <c r="B41" s="54">
        <f>+B30+B36</f>
        <v>358.50000000000017</v>
      </c>
      <c r="C41" s="54">
        <f t="shared" ref="C41:G41" si="46">+C30+C36</f>
        <v>523.55090349840373</v>
      </c>
      <c r="D41" s="54">
        <f t="shared" si="46"/>
        <v>577.62323354827242</v>
      </c>
      <c r="E41" s="54">
        <f t="shared" si="46"/>
        <v>653.79907014076286</v>
      </c>
      <c r="F41" s="54">
        <f t="shared" si="46"/>
        <v>745.11327938642705</v>
      </c>
      <c r="G41" s="54">
        <f t="shared" si="46"/>
        <v>847.09839285802582</v>
      </c>
      <c r="I41" s="15"/>
      <c r="J41" s="65">
        <v>0</v>
      </c>
      <c r="K41" s="66"/>
      <c r="L41" s="66"/>
      <c r="M41" s="66"/>
      <c r="N41" s="66"/>
      <c r="O41" s="66"/>
      <c r="Q41" s="15" t="s">
        <v>105</v>
      </c>
      <c r="R41" s="65">
        <v>-8</v>
      </c>
      <c r="S41" s="66">
        <f>+R41</f>
        <v>-8</v>
      </c>
      <c r="T41" s="66">
        <f t="shared" ref="T41:W41" si="47">+S41</f>
        <v>-8</v>
      </c>
      <c r="U41" s="66">
        <f t="shared" si="47"/>
        <v>-8</v>
      </c>
      <c r="V41" s="66">
        <f t="shared" si="47"/>
        <v>-8</v>
      </c>
      <c r="W41" s="66">
        <f t="shared" si="47"/>
        <v>-8</v>
      </c>
    </row>
    <row r="42" spans="1:23" x14ac:dyDescent="0.25">
      <c r="I42" s="15" t="s">
        <v>131</v>
      </c>
      <c r="J42" s="65">
        <v>-7.1</v>
      </c>
      <c r="K42" s="66">
        <f>-Assumptions!C108</f>
        <v>-35.88844025661588</v>
      </c>
      <c r="L42" s="66">
        <f>-Assumptions!D108</f>
        <v>-16.958883988238441</v>
      </c>
      <c r="M42" s="66">
        <f>-Assumptions!E108</f>
        <v>-20.599539116100868</v>
      </c>
      <c r="N42" s="66">
        <f>-Assumptions!F108</f>
        <v>-24.482287786985065</v>
      </c>
      <c r="O42" s="66">
        <f>-Assumptions!G108</f>
        <v>-20.680236963774789</v>
      </c>
      <c r="Q42" s="15" t="s">
        <v>106</v>
      </c>
      <c r="R42" s="65">
        <v>306.5</v>
      </c>
      <c r="S42" s="66">
        <f>+R42-66.5+58.9</f>
        <v>298.89999999999998</v>
      </c>
      <c r="T42" s="66">
        <f>+S42-66.5+71</f>
        <v>303.39999999999998</v>
      </c>
      <c r="U42" s="66">
        <f t="shared" ref="U42:W42" si="48">+T42-66.5+71</f>
        <v>307.89999999999998</v>
      </c>
      <c r="V42" s="66">
        <f t="shared" si="48"/>
        <v>312.39999999999998</v>
      </c>
      <c r="W42" s="66">
        <f t="shared" si="48"/>
        <v>316.89999999999998</v>
      </c>
    </row>
    <row r="43" spans="1:23" x14ac:dyDescent="0.25">
      <c r="A43" s="5" t="s">
        <v>23</v>
      </c>
      <c r="I43" s="15" t="s">
        <v>132</v>
      </c>
      <c r="J43" s="67">
        <v>-1.1000000000000001</v>
      </c>
      <c r="K43" s="68">
        <f>-1.1-Assumptions!C98</f>
        <v>-6.0118740177641925</v>
      </c>
      <c r="L43" s="68">
        <f>-1.1-Assumptions!D98</f>
        <v>-10.192402608336131</v>
      </c>
      <c r="M43" s="68">
        <f>-1.1-Assumptions!E98</f>
        <v>-9.1069146882467269</v>
      </c>
      <c r="N43" s="68">
        <f>-1.1-Assumptions!F98</f>
        <v>-8.4370637714490169</v>
      </c>
      <c r="O43" s="68">
        <f>-1.1-Assumptions!G98</f>
        <v>-9.245460356010625</v>
      </c>
      <c r="Q43" s="15" t="s">
        <v>107</v>
      </c>
      <c r="R43" s="65">
        <v>-55.5</v>
      </c>
      <c r="S43" s="66">
        <f>+R43-71+59.7</f>
        <v>-66.8</v>
      </c>
      <c r="T43" s="66">
        <f>+S43-71.59</f>
        <v>-138.38999999999999</v>
      </c>
      <c r="U43" s="66">
        <f t="shared" ref="U43:W43" si="49">+T43-71.59</f>
        <v>-209.98</v>
      </c>
      <c r="V43" s="66">
        <f t="shared" si="49"/>
        <v>-281.57</v>
      </c>
      <c r="W43" s="66">
        <f t="shared" si="49"/>
        <v>-353.15999999999997</v>
      </c>
    </row>
    <row r="44" spans="1:23" x14ac:dyDescent="0.25">
      <c r="A44" s="15" t="s">
        <v>24</v>
      </c>
      <c r="B44" s="51">
        <v>1036.7</v>
      </c>
      <c r="C44" s="51">
        <v>1036.7</v>
      </c>
      <c r="D44" s="51">
        <v>1036.7</v>
      </c>
      <c r="E44" s="51">
        <v>1036.7</v>
      </c>
      <c r="F44" s="51">
        <v>1036.7</v>
      </c>
      <c r="G44" s="51">
        <v>1036.7</v>
      </c>
      <c r="I44" s="5" t="s">
        <v>133</v>
      </c>
      <c r="J44" s="52">
        <f>SUM(J38:J43)</f>
        <v>-125.6</v>
      </c>
      <c r="K44" s="52">
        <f>SUM(K38:K43)</f>
        <v>-164.51218829214426</v>
      </c>
      <c r="L44" s="52">
        <f t="shared" ref="L44:O44" si="50">SUM(L38:L43)</f>
        <v>-62.206079245477049</v>
      </c>
      <c r="M44" s="52">
        <f t="shared" si="50"/>
        <v>-122.02867602656983</v>
      </c>
      <c r="N44" s="52">
        <f t="shared" si="50"/>
        <v>-116.24898118806372</v>
      </c>
      <c r="O44" s="52">
        <f t="shared" si="50"/>
        <v>-101.79853682595825</v>
      </c>
      <c r="Q44" s="15" t="s">
        <v>108</v>
      </c>
      <c r="R44" s="65">
        <v>-12.4</v>
      </c>
      <c r="S44" s="66">
        <f>+R44+10.3</f>
        <v>-2.0999999999999996</v>
      </c>
      <c r="T44" s="66">
        <f>+S44</f>
        <v>-2.0999999999999996</v>
      </c>
      <c r="U44" s="66">
        <f t="shared" ref="U44:W44" si="51">+T44</f>
        <v>-2.0999999999999996</v>
      </c>
      <c r="V44" s="66">
        <f t="shared" si="51"/>
        <v>-2.0999999999999996</v>
      </c>
      <c r="W44" s="66">
        <f t="shared" si="51"/>
        <v>-2.0999999999999996</v>
      </c>
    </row>
    <row r="45" spans="1:23" x14ac:dyDescent="0.25">
      <c r="A45" s="15" t="s">
        <v>25</v>
      </c>
      <c r="B45" s="51">
        <v>1051.4000000000001</v>
      </c>
      <c r="C45" s="51">
        <v>1051.4000000000001</v>
      </c>
      <c r="D45" s="51">
        <v>1051.4000000000001</v>
      </c>
      <c r="E45" s="51">
        <v>1051.4000000000001</v>
      </c>
      <c r="F45" s="51">
        <v>1051.4000000000001</v>
      </c>
      <c r="G45" s="51">
        <v>1051.4000000000001</v>
      </c>
      <c r="I45" s="5" t="s">
        <v>134</v>
      </c>
      <c r="J45" s="52">
        <f>+J27+J35+J44</f>
        <v>2980.7000000000007</v>
      </c>
      <c r="K45" s="52">
        <f t="shared" ref="K45:O45" si="52">+K27+K35+K44</f>
        <v>4817.4009168228276</v>
      </c>
      <c r="L45" s="52">
        <f t="shared" si="52"/>
        <v>6717.6652739376314</v>
      </c>
      <c r="M45" s="52">
        <f t="shared" si="52"/>
        <v>9214.0224933091358</v>
      </c>
      <c r="N45" s="52">
        <f t="shared" si="52"/>
        <v>12835.319739652059</v>
      </c>
      <c r="O45" s="52">
        <f t="shared" si="52"/>
        <v>17101.011161139937</v>
      </c>
      <c r="Q45" s="15" t="s">
        <v>109</v>
      </c>
      <c r="R45" s="65">
        <v>-3.8</v>
      </c>
      <c r="S45" s="66">
        <f>+R45-10.4</f>
        <v>-14.2</v>
      </c>
      <c r="T45" s="66">
        <f>+S45</f>
        <v>-14.2</v>
      </c>
      <c r="U45" s="66">
        <f t="shared" ref="U45:W45" si="53">+T45</f>
        <v>-14.2</v>
      </c>
      <c r="V45" s="66">
        <f t="shared" si="53"/>
        <v>-14.2</v>
      </c>
      <c r="W45" s="66">
        <f t="shared" si="53"/>
        <v>-14.2</v>
      </c>
    </row>
    <row r="46" spans="1:23" ht="15.75" x14ac:dyDescent="0.25">
      <c r="I46" s="11"/>
      <c r="J46" s="51"/>
      <c r="K46" s="51"/>
      <c r="L46" s="51"/>
      <c r="M46" s="51"/>
      <c r="N46" s="51"/>
      <c r="O46" s="51"/>
      <c r="Q46" s="15" t="s">
        <v>110</v>
      </c>
      <c r="R46" s="77">
        <v>742.9</v>
      </c>
      <c r="S46" s="68">
        <f>+R46+C30+8.1</f>
        <v>1270.6509034984037</v>
      </c>
      <c r="T46" s="68">
        <f>+S46+D30+8.1</f>
        <v>1852.4741370466761</v>
      </c>
      <c r="U46" s="68">
        <f t="shared" ref="U46:W46" si="54">+T46+E30+8.1</f>
        <v>2510.4732071874391</v>
      </c>
      <c r="V46" s="68">
        <f t="shared" si="54"/>
        <v>3259.7864865738661</v>
      </c>
      <c r="W46" s="68">
        <f t="shared" si="54"/>
        <v>4111.0848794318927</v>
      </c>
    </row>
    <row r="47" spans="1:23" x14ac:dyDescent="0.25">
      <c r="A47" s="5" t="s">
        <v>26</v>
      </c>
      <c r="I47" s="15" t="s">
        <v>136</v>
      </c>
      <c r="J47" s="65">
        <v>7679.4</v>
      </c>
      <c r="K47" s="66">
        <f>+J49-J48</f>
        <v>10660.1</v>
      </c>
      <c r="L47" s="66">
        <f>+K49-K48</f>
        <v>15477.500916822828</v>
      </c>
      <c r="M47" s="66">
        <f>+L49-L48</f>
        <v>22195.166190760458</v>
      </c>
      <c r="N47" s="66">
        <f>+M49-M48</f>
        <v>31409.188684069595</v>
      </c>
      <c r="O47" s="66">
        <f>+N49-N48</f>
        <v>44244.508423721651</v>
      </c>
      <c r="Q47" s="5" t="s">
        <v>32</v>
      </c>
      <c r="R47" s="52">
        <f t="shared" ref="R47:W47" si="55">SUM(R40:R46)</f>
        <v>979.9</v>
      </c>
      <c r="S47" s="52">
        <f t="shared" si="55"/>
        <v>1488.6509034984037</v>
      </c>
      <c r="T47" s="52">
        <f t="shared" si="55"/>
        <v>2003.3841370466762</v>
      </c>
      <c r="U47" s="52">
        <f t="shared" si="55"/>
        <v>2594.2932071874393</v>
      </c>
      <c r="V47" s="52">
        <f t="shared" si="55"/>
        <v>3276.5164865738661</v>
      </c>
      <c r="W47" s="52">
        <f t="shared" si="55"/>
        <v>4060.7248794318925</v>
      </c>
    </row>
    <row r="48" spans="1:23" x14ac:dyDescent="0.25">
      <c r="A48" s="15" t="s">
        <v>24</v>
      </c>
      <c r="B48" s="51">
        <f>(+B$30/B$44)*100</f>
        <v>34.204687952155901</v>
      </c>
      <c r="C48" s="51">
        <f t="shared" ref="C48:G48" si="56">(+C$30/C$44)*100</f>
        <v>50.125485048558282</v>
      </c>
      <c r="D48" s="51">
        <f t="shared" si="56"/>
        <v>55.341297728202221</v>
      </c>
      <c r="E48" s="51">
        <f t="shared" si="56"/>
        <v>62.689212900623403</v>
      </c>
      <c r="F48" s="51">
        <f t="shared" si="56"/>
        <v>71.49737430176782</v>
      </c>
      <c r="G48" s="51">
        <f t="shared" si="56"/>
        <v>81.334850280507936</v>
      </c>
      <c r="I48" s="15" t="s">
        <v>137</v>
      </c>
      <c r="J48" s="67">
        <v>-180.9</v>
      </c>
      <c r="K48" s="66">
        <f>+J48+SUM(-K45-Y1)</f>
        <v>-104.7667043054611</v>
      </c>
      <c r="L48" s="66">
        <f>+K48+SUM(-L45-Z1)</f>
        <v>-117.70330449100803</v>
      </c>
      <c r="M48" s="66">
        <f>+L48+SUM(-M45-AA1)</f>
        <v>-267.57002902100464</v>
      </c>
      <c r="N48" s="66">
        <f>+M48+SUM(-N45-AB1)</f>
        <v>-744.72373954372631</v>
      </c>
      <c r="O48" s="66">
        <f>+N48+SUM(-O45-AC1)</f>
        <v>-1026.8674668768258</v>
      </c>
      <c r="Q48" s="5"/>
      <c r="R48" s="51"/>
      <c r="S48" s="51"/>
      <c r="T48" s="51"/>
      <c r="U48" s="51"/>
      <c r="V48" s="51"/>
      <c r="W48" s="51"/>
    </row>
    <row r="49" spans="1:23" ht="15.75" thickBot="1" x14ac:dyDescent="0.3">
      <c r="A49" s="15" t="s">
        <v>25</v>
      </c>
      <c r="B49" s="51">
        <f>(+B$30/B$45)*100</f>
        <v>33.726459958151054</v>
      </c>
      <c r="C49" s="51">
        <f t="shared" ref="C49:G49" si="57">(+C$30/C$45)*100</f>
        <v>49.424662687692958</v>
      </c>
      <c r="D49" s="51">
        <f t="shared" si="57"/>
        <v>54.567551222015631</v>
      </c>
      <c r="E49" s="51">
        <f t="shared" si="57"/>
        <v>61.81273256046822</v>
      </c>
      <c r="F49" s="51">
        <f t="shared" si="57"/>
        <v>70.497743902075996</v>
      </c>
      <c r="G49" s="51">
        <f t="shared" si="57"/>
        <v>80.19767860548086</v>
      </c>
      <c r="I49" s="15" t="s">
        <v>138</v>
      </c>
      <c r="J49" s="54">
        <f>+J45+J47+J48</f>
        <v>10479.200000000001</v>
      </c>
      <c r="K49" s="54">
        <f t="shared" ref="K49:O49" si="58">+K45+K47+K48</f>
        <v>15372.734212517367</v>
      </c>
      <c r="L49" s="54">
        <f t="shared" si="58"/>
        <v>22077.462886269448</v>
      </c>
      <c r="M49" s="54">
        <f t="shared" si="58"/>
        <v>31141.618655048591</v>
      </c>
      <c r="N49" s="54">
        <f t="shared" si="58"/>
        <v>43499.784684177925</v>
      </c>
      <c r="O49" s="54">
        <f t="shared" si="58"/>
        <v>60318.652117984755</v>
      </c>
      <c r="Q49" s="5" t="s">
        <v>33</v>
      </c>
      <c r="R49" s="54">
        <f t="shared" ref="R49:W49" si="59">+R47+R37</f>
        <v>15137.400000000001</v>
      </c>
      <c r="S49" s="54">
        <f t="shared" si="59"/>
        <v>20699.327859685618</v>
      </c>
      <c r="T49" s="54">
        <f t="shared" si="59"/>
        <v>28227.937190391505</v>
      </c>
      <c r="U49" s="54">
        <f t="shared" si="59"/>
        <v>38335.970493791363</v>
      </c>
      <c r="V49" s="54">
        <f t="shared" si="59"/>
        <v>52046.009070450644</v>
      </c>
      <c r="W49" s="54">
        <f t="shared" si="59"/>
        <v>70657.542053151876</v>
      </c>
    </row>
    <row r="51" spans="1:23" x14ac:dyDescent="0.25">
      <c r="K51" s="80">
        <f>+K49-S20</f>
        <v>0</v>
      </c>
      <c r="L51" s="80">
        <f>+L49-T20</f>
        <v>0</v>
      </c>
      <c r="M51" s="80">
        <f t="shared" ref="M51:O51" si="60">+M49-U20</f>
        <v>0</v>
      </c>
      <c r="N51" s="80">
        <f t="shared" si="60"/>
        <v>0</v>
      </c>
      <c r="O51" s="80">
        <f t="shared" si="60"/>
        <v>0</v>
      </c>
      <c r="S51" s="79">
        <f>+S49-S22</f>
        <v>0</v>
      </c>
      <c r="T51" s="79">
        <f t="shared" ref="T51:W51" si="61">+T49-T22</f>
        <v>0</v>
      </c>
      <c r="U51" s="79">
        <f t="shared" si="61"/>
        <v>0</v>
      </c>
      <c r="V51" s="79">
        <f t="shared" si="61"/>
        <v>0</v>
      </c>
      <c r="W51" s="79">
        <f t="shared" si="61"/>
        <v>0</v>
      </c>
    </row>
    <row r="52" spans="1:23" x14ac:dyDescent="0.25">
      <c r="J52" s="62"/>
      <c r="K52" s="13"/>
      <c r="L52" s="62"/>
      <c r="M52" s="62"/>
      <c r="N52" s="62"/>
      <c r="O52" s="62"/>
    </row>
    <row r="53" spans="1:23" x14ac:dyDescent="0.25">
      <c r="J53" s="62"/>
      <c r="K53" s="13"/>
      <c r="L53" s="62"/>
      <c r="M53" s="62"/>
      <c r="N53" s="62"/>
      <c r="O53" s="62"/>
    </row>
    <row r="54" spans="1:23" x14ac:dyDescent="0.25">
      <c r="K54" s="80"/>
    </row>
    <row r="55" spans="1:23" x14ac:dyDescent="0.25">
      <c r="K55" s="80"/>
    </row>
    <row r="56" spans="1:23" x14ac:dyDescent="0.25">
      <c r="K56" s="8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C62BC-EE99-4B0A-8CE5-10F2F2940DCA}">
  <sheetPr codeName="Sheet1"/>
  <dimension ref="A1:BQ108"/>
  <sheetViews>
    <sheetView showGridLines="0" zoomScale="78" zoomScaleNormal="78" workbookViewId="0">
      <pane xSplit="1" ySplit="6" topLeftCell="AD7" activePane="bottomRight" state="frozen"/>
      <selection pane="topRight" activeCell="B1" sqref="B1"/>
      <selection pane="bottomLeft" activeCell="A7" sqref="A7"/>
      <selection pane="bottomRight" activeCell="AM34" sqref="AM34"/>
    </sheetView>
  </sheetViews>
  <sheetFormatPr defaultRowHeight="15" outlineLevelCol="1" x14ac:dyDescent="0.25"/>
  <cols>
    <col min="1" max="1" width="55.85546875" hidden="1" customWidth="1" outlineLevel="1"/>
    <col min="2" max="7" width="14" hidden="1" customWidth="1" outlineLevel="1"/>
    <col min="8" max="8" width="9.140625" hidden="1" customWidth="1" outlineLevel="1"/>
    <col min="9" max="9" width="11" hidden="1" customWidth="1" outlineLevel="1"/>
    <col min="10" max="10" width="32.85546875" hidden="1" customWidth="1" outlineLevel="1"/>
    <col min="11" max="11" width="36.5703125" hidden="1" customWidth="1" outlineLevel="1"/>
    <col min="12" max="12" width="9.140625" hidden="1" customWidth="1" outlineLevel="1"/>
    <col min="13" max="13" width="10" hidden="1" customWidth="1" outlineLevel="1"/>
    <col min="14" max="14" width="13.42578125" hidden="1" customWidth="1" outlineLevel="1"/>
    <col min="15" max="21" width="9.140625" hidden="1" customWidth="1" outlineLevel="1"/>
    <col min="22" max="22" width="11.5703125" hidden="1" customWidth="1" outlineLevel="1"/>
    <col min="23" max="23" width="11.140625" hidden="1" customWidth="1" outlineLevel="1"/>
    <col min="24" max="24" width="10" hidden="1" customWidth="1" outlineLevel="1"/>
    <col min="25" max="27" width="9.85546875" hidden="1" customWidth="1" outlineLevel="1"/>
    <col min="28" max="31" width="9.140625" hidden="1" customWidth="1" outlineLevel="1"/>
    <col min="32" max="32" width="9.140625" collapsed="1"/>
  </cols>
  <sheetData>
    <row r="1" spans="1:69" ht="27" customHeight="1" x14ac:dyDescent="0.35">
      <c r="A1" s="4" t="s">
        <v>66</v>
      </c>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row>
    <row r="2" spans="1:69" x14ac:dyDescent="0.25">
      <c r="A2" s="1" t="s">
        <v>2</v>
      </c>
      <c r="AF2" s="90"/>
      <c r="AG2" s="90"/>
      <c r="AH2" s="90"/>
      <c r="AI2" s="90"/>
      <c r="AJ2" s="90"/>
      <c r="AK2" s="90"/>
      <c r="AL2" s="90"/>
      <c r="AM2" s="90"/>
      <c r="AN2" s="90"/>
      <c r="AO2" s="90"/>
      <c r="AP2" s="90"/>
      <c r="AQ2" s="90"/>
      <c r="AR2" s="90"/>
      <c r="AS2" s="90"/>
      <c r="AT2" s="90"/>
      <c r="AU2" s="90"/>
      <c r="AV2" s="90"/>
      <c r="AW2" s="90"/>
      <c r="AX2" s="90"/>
      <c r="AY2" s="90"/>
      <c r="AZ2" s="90"/>
      <c r="BA2" s="90"/>
      <c r="BB2" s="90"/>
      <c r="BC2" s="90"/>
      <c r="BD2" s="90"/>
      <c r="BE2" s="90"/>
      <c r="BF2" s="90"/>
      <c r="BG2" s="90"/>
      <c r="BH2" s="90"/>
      <c r="BI2" s="90"/>
      <c r="BJ2" s="90"/>
      <c r="BK2" s="90"/>
      <c r="BL2" s="90"/>
      <c r="BM2" s="90"/>
      <c r="BN2" s="90"/>
      <c r="BO2" s="90"/>
      <c r="BP2" s="90"/>
      <c r="BQ2" s="90"/>
    </row>
    <row r="3" spans="1:69" x14ac:dyDescent="0.25">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row>
    <row r="4" spans="1:69" x14ac:dyDescent="0.25">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row>
    <row r="5" spans="1:69" x14ac:dyDescent="0.25">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90"/>
      <c r="BG5" s="90"/>
      <c r="BH5" s="90"/>
      <c r="BI5" s="90"/>
      <c r="BJ5" s="90"/>
      <c r="BK5" s="90"/>
      <c r="BL5" s="90"/>
      <c r="BM5" s="90"/>
      <c r="BN5" s="90"/>
      <c r="BO5" s="90"/>
      <c r="BP5" s="90"/>
      <c r="BQ5" s="90"/>
    </row>
    <row r="6" spans="1:69" ht="31.5" x14ac:dyDescent="0.5">
      <c r="A6" s="3" t="s">
        <v>1</v>
      </c>
      <c r="B6" s="6">
        <v>45292</v>
      </c>
      <c r="C6" s="50">
        <v>45658</v>
      </c>
      <c r="D6" s="50">
        <f>EDATE(C6,12)</f>
        <v>46023</v>
      </c>
      <c r="E6" s="50">
        <f>EDATE(D6,12)</f>
        <v>46388</v>
      </c>
      <c r="F6" s="50">
        <f t="shared" ref="F6:G6" si="0">EDATE(E6,12)</f>
        <v>46753</v>
      </c>
      <c r="G6" s="50">
        <f t="shared" si="0"/>
        <v>47119</v>
      </c>
      <c r="M6" s="50">
        <f>EDATE(N6,12)</f>
        <v>45658</v>
      </c>
      <c r="N6" s="50">
        <f>EDATE(O6,12)</f>
        <v>45292</v>
      </c>
      <c r="O6" s="50">
        <f>EDATE(P6,12)</f>
        <v>44927</v>
      </c>
      <c r="P6" s="50">
        <f>EDATE(Q6,12)</f>
        <v>44562</v>
      </c>
      <c r="Q6" s="6">
        <v>44197</v>
      </c>
      <c r="U6" s="92"/>
      <c r="V6" s="3" t="s">
        <v>218</v>
      </c>
      <c r="W6" s="50">
        <f>EDATE(X6,12)</f>
        <v>45658</v>
      </c>
      <c r="X6" s="50">
        <f>EDATE(Y6,12)</f>
        <v>45292</v>
      </c>
      <c r="Y6" s="50">
        <f>EDATE(Z6,12)</f>
        <v>44927</v>
      </c>
      <c r="Z6" s="50">
        <f>EDATE(AA6,12)</f>
        <v>44562</v>
      </c>
      <c r="AA6" s="6">
        <v>44197</v>
      </c>
      <c r="AF6" s="90"/>
      <c r="AG6" s="90"/>
      <c r="AH6" s="90"/>
      <c r="AI6" s="90"/>
      <c r="AJ6" s="90"/>
      <c r="AK6" s="90"/>
      <c r="AL6" s="90"/>
      <c r="AM6" s="99" t="s">
        <v>228</v>
      </c>
      <c r="AN6" s="90"/>
      <c r="AO6" s="90"/>
      <c r="AP6" s="90"/>
      <c r="AQ6" s="90"/>
      <c r="AR6" s="90"/>
      <c r="AS6" s="90"/>
      <c r="AT6" s="90"/>
      <c r="AU6" s="90"/>
      <c r="AV6" s="90"/>
      <c r="AW6" s="90"/>
      <c r="AX6" s="90"/>
      <c r="AY6" s="90"/>
      <c r="AZ6" s="90"/>
      <c r="BA6" s="90"/>
      <c r="BB6" s="90"/>
      <c r="BC6" s="90"/>
      <c r="BD6" s="90"/>
      <c r="BE6" s="90"/>
      <c r="BF6" s="90"/>
      <c r="BG6" s="90"/>
      <c r="BH6" s="90"/>
      <c r="BI6" s="90"/>
      <c r="BJ6" s="90"/>
      <c r="BK6" s="90"/>
      <c r="BL6" s="90"/>
      <c r="BM6" s="90"/>
      <c r="BN6" s="90"/>
      <c r="BO6" s="90"/>
      <c r="BP6" s="90"/>
      <c r="BQ6" s="90"/>
    </row>
    <row r="7" spans="1:69" ht="18.75" x14ac:dyDescent="0.3">
      <c r="A7" s="8" t="s">
        <v>3</v>
      </c>
      <c r="B7" s="7"/>
      <c r="C7" s="7"/>
      <c r="D7" s="7"/>
      <c r="E7" s="7"/>
      <c r="F7" s="7"/>
      <c r="G7" s="7"/>
      <c r="M7">
        <v>1212</v>
      </c>
      <c r="N7">
        <v>1052</v>
      </c>
      <c r="O7">
        <v>846.1</v>
      </c>
      <c r="P7">
        <v>559.9</v>
      </c>
      <c r="Q7">
        <v>421</v>
      </c>
      <c r="W7" s="62">
        <f t="shared" ref="W7:AA8" si="1">+M7/M$9</f>
        <v>0.73673332928089486</v>
      </c>
      <c r="X7" s="62">
        <f t="shared" si="1"/>
        <v>0.6843611761644548</v>
      </c>
      <c r="Y7" s="62">
        <f t="shared" si="1"/>
        <v>0.8741605537762166</v>
      </c>
      <c r="Z7" s="62">
        <f t="shared" si="1"/>
        <v>0.99308265342319979</v>
      </c>
      <c r="AA7" s="62">
        <f t="shared" si="1"/>
        <v>1</v>
      </c>
    </row>
    <row r="8" spans="1:69" ht="15.75" x14ac:dyDescent="0.25">
      <c r="A8" s="9" t="s">
        <v>4</v>
      </c>
      <c r="B8" s="2" t="s">
        <v>214</v>
      </c>
      <c r="C8" s="17">
        <v>0.15</v>
      </c>
      <c r="D8" s="17">
        <f>AVERAGE($V$28:$V$29)</f>
        <v>0.17499999999999999</v>
      </c>
      <c r="E8" s="17">
        <f t="shared" ref="E8:G8" si="2">AVERAGE($V$28:$V$29)</f>
        <v>0.17499999999999999</v>
      </c>
      <c r="F8" s="17">
        <f t="shared" si="2"/>
        <v>0.17499999999999999</v>
      </c>
      <c r="G8" s="17">
        <f t="shared" si="2"/>
        <v>0.17499999999999999</v>
      </c>
      <c r="M8">
        <v>433.1</v>
      </c>
      <c r="N8">
        <v>485.2</v>
      </c>
      <c r="O8">
        <v>121.8</v>
      </c>
      <c r="P8">
        <v>3.9</v>
      </c>
      <c r="V8" t="s">
        <v>217</v>
      </c>
      <c r="W8" s="62">
        <f t="shared" si="1"/>
        <v>0.26326667071910526</v>
      </c>
      <c r="X8" s="62">
        <f t="shared" si="1"/>
        <v>0.31563882383554515</v>
      </c>
      <c r="Y8" s="62">
        <f t="shared" si="1"/>
        <v>0.12583944622378346</v>
      </c>
      <c r="Z8" s="62">
        <f t="shared" si="1"/>
        <v>6.9173465768002842E-3</v>
      </c>
      <c r="AA8" s="62">
        <f t="shared" si="1"/>
        <v>0</v>
      </c>
    </row>
    <row r="9" spans="1:69" ht="15.75" x14ac:dyDescent="0.25">
      <c r="A9" s="18" t="s">
        <v>14</v>
      </c>
      <c r="B9" s="2" t="s">
        <v>215</v>
      </c>
      <c r="C9" s="17">
        <v>0.08</v>
      </c>
      <c r="D9" s="17">
        <v>0.08</v>
      </c>
      <c r="E9" s="17">
        <v>0.08</v>
      </c>
      <c r="F9" s="17">
        <v>0.08</v>
      </c>
      <c r="G9" s="17">
        <v>0.08</v>
      </c>
      <c r="M9">
        <f>+M7+M8</f>
        <v>1645.1</v>
      </c>
      <c r="N9">
        <f>+N7+N8</f>
        <v>1537.2</v>
      </c>
      <c r="O9">
        <f>+O7+O8</f>
        <v>967.9</v>
      </c>
      <c r="P9">
        <f>+P7+P8</f>
        <v>563.79999999999995</v>
      </c>
      <c r="Q9">
        <f>+Q7+Q8</f>
        <v>421</v>
      </c>
    </row>
    <row r="10" spans="1:69" ht="15.75" x14ac:dyDescent="0.25">
      <c r="A10" s="18" t="s">
        <v>15</v>
      </c>
      <c r="B10" s="2" t="s">
        <v>216</v>
      </c>
      <c r="C10" s="17">
        <v>0.02</v>
      </c>
      <c r="D10" s="17">
        <v>0.02</v>
      </c>
      <c r="E10" s="17">
        <v>0.02</v>
      </c>
      <c r="F10" s="17">
        <v>0.02</v>
      </c>
      <c r="G10" s="17">
        <v>0.02</v>
      </c>
      <c r="V10" t="s">
        <v>183</v>
      </c>
      <c r="W10" s="82">
        <f>AVERAGE(W8:AA8)</f>
        <v>0.14233245747104684</v>
      </c>
    </row>
    <row r="11" spans="1:69" ht="21" x14ac:dyDescent="0.35">
      <c r="A11" s="18" t="s">
        <v>16</v>
      </c>
      <c r="B11" s="2"/>
      <c r="C11" s="17"/>
      <c r="D11" s="17"/>
      <c r="E11" s="17"/>
      <c r="F11" s="17"/>
      <c r="G11" s="17"/>
      <c r="K11" t="s">
        <v>140</v>
      </c>
      <c r="M11">
        <f>-328.1-9.1</f>
        <v>-337.20000000000005</v>
      </c>
      <c r="N11">
        <v>-307.39999999999998</v>
      </c>
      <c r="O11">
        <v>-308.2</v>
      </c>
      <c r="P11">
        <v>-185.8</v>
      </c>
      <c r="Q11">
        <v>-151.69999999999999</v>
      </c>
      <c r="AK11" s="102"/>
      <c r="AL11" s="103">
        <v>1</v>
      </c>
      <c r="AM11" s="101" t="s">
        <v>229</v>
      </c>
    </row>
    <row r="12" spans="1:69" ht="15.75" x14ac:dyDescent="0.25">
      <c r="A12" s="18" t="s">
        <v>17</v>
      </c>
      <c r="B12" s="2"/>
      <c r="C12" s="17"/>
      <c r="D12" s="17"/>
      <c r="E12" s="17"/>
      <c r="F12" s="17"/>
      <c r="G12" s="17"/>
      <c r="AL12" s="100"/>
    </row>
    <row r="13" spans="1:69" ht="21" x14ac:dyDescent="0.25">
      <c r="A13" s="9" t="s">
        <v>19</v>
      </c>
      <c r="B13" s="2"/>
      <c r="C13" s="17"/>
      <c r="D13" s="17"/>
      <c r="E13" s="17"/>
      <c r="F13" s="17"/>
      <c r="G13" s="17"/>
      <c r="M13" s="13">
        <f>+M9+M11</f>
        <v>1307.8999999999999</v>
      </c>
      <c r="N13" s="13">
        <f t="shared" ref="N13:Q13" si="3">+N9+N11</f>
        <v>1229.8000000000002</v>
      </c>
      <c r="O13" s="13">
        <f t="shared" si="3"/>
        <v>659.7</v>
      </c>
      <c r="P13" s="13">
        <f t="shared" si="3"/>
        <v>377.99999999999994</v>
      </c>
      <c r="Q13" s="13">
        <f t="shared" si="3"/>
        <v>269.3</v>
      </c>
      <c r="R13" s="13"/>
      <c r="S13" s="13"/>
      <c r="T13" s="13"/>
      <c r="U13" s="13"/>
      <c r="V13" s="13"/>
      <c r="AL13" s="103">
        <v>2</v>
      </c>
      <c r="AM13" s="101" t="s">
        <v>230</v>
      </c>
    </row>
    <row r="14" spans="1:69" ht="15.75" x14ac:dyDescent="0.25">
      <c r="A14" s="9" t="s">
        <v>41</v>
      </c>
      <c r="B14" s="2"/>
      <c r="C14" s="17"/>
      <c r="D14" s="17"/>
      <c r="E14" s="17"/>
      <c r="F14" s="17"/>
      <c r="G14" s="17"/>
      <c r="M14" s="62">
        <f>+M13/M9</f>
        <v>0.79502765789313712</v>
      </c>
      <c r="N14" s="62">
        <f t="shared" ref="N14:Q14" si="4">+N13/N9</f>
        <v>0.8000260213374969</v>
      </c>
      <c r="O14" s="62">
        <f t="shared" si="4"/>
        <v>0.68157867548300455</v>
      </c>
      <c r="P14" s="62">
        <f t="shared" si="4"/>
        <v>0.6704505143667967</v>
      </c>
      <c r="Q14" s="62">
        <f t="shared" si="4"/>
        <v>0.6396674584323041</v>
      </c>
      <c r="R14" s="62"/>
      <c r="S14" s="62"/>
      <c r="T14" s="62"/>
      <c r="U14" s="62"/>
      <c r="V14" s="62"/>
      <c r="AL14" s="100"/>
    </row>
    <row r="15" spans="1:69" ht="21" x14ac:dyDescent="0.25">
      <c r="A15" s="9"/>
      <c r="B15" s="2"/>
      <c r="C15" s="2"/>
      <c r="D15" s="2"/>
      <c r="E15" s="2"/>
      <c r="F15" s="2"/>
      <c r="G15" s="2"/>
      <c r="AL15" s="103">
        <v>3</v>
      </c>
      <c r="AM15" s="101" t="s">
        <v>231</v>
      </c>
    </row>
    <row r="16" spans="1:69" ht="18.75" x14ac:dyDescent="0.3">
      <c r="A16" s="10" t="s">
        <v>5</v>
      </c>
      <c r="B16" s="2"/>
      <c r="C16" s="2"/>
      <c r="D16" s="2"/>
      <c r="E16" s="2"/>
      <c r="F16" s="2"/>
      <c r="G16" s="2"/>
      <c r="K16" t="s">
        <v>170</v>
      </c>
      <c r="M16">
        <v>38.799999999999997</v>
      </c>
      <c r="N16">
        <v>32.1</v>
      </c>
      <c r="O16">
        <v>17.899999999999999</v>
      </c>
      <c r="P16">
        <v>14.3</v>
      </c>
      <c r="Q16">
        <v>15.1</v>
      </c>
      <c r="AL16" s="100"/>
    </row>
    <row r="17" spans="1:57" ht="21" x14ac:dyDescent="0.25">
      <c r="A17" s="9" t="s">
        <v>6</v>
      </c>
      <c r="B17" s="16" t="e">
        <f>'3 Statement Model'!#REF!/(+#REF!+#REF!)*-1</f>
        <v>#REF!</v>
      </c>
      <c r="C17" s="17" t="e">
        <f t="shared" ref="C17:D22" si="5">AVERAGE(B17:B17)</f>
        <v>#REF!</v>
      </c>
      <c r="D17" s="17" t="e">
        <f t="shared" si="5"/>
        <v>#REF!</v>
      </c>
      <c r="E17" s="17" t="e">
        <f t="shared" ref="E17:E22" si="6">AVERAGE(C17:D17)</f>
        <v>#REF!</v>
      </c>
      <c r="F17" s="17" t="e">
        <f t="shared" ref="F17:F18" si="7">AVERAGE(C17:E17)</f>
        <v>#REF!</v>
      </c>
      <c r="G17" s="17" t="e">
        <f t="shared" ref="G17:G18" si="8">AVERAGE(D17:F17)</f>
        <v>#REF!</v>
      </c>
      <c r="AL17" s="103">
        <v>4</v>
      </c>
      <c r="AM17" s="101" t="s">
        <v>232</v>
      </c>
      <c r="BE17" s="101"/>
    </row>
    <row r="18" spans="1:57" ht="21" x14ac:dyDescent="0.25">
      <c r="A18" s="9" t="s">
        <v>7</v>
      </c>
      <c r="B18" s="47">
        <f>SUM('3 Statement Model'!B8:B11)/'3 Statement Model'!R12</f>
        <v>43.996884735202492</v>
      </c>
      <c r="C18" s="40">
        <f t="shared" si="5"/>
        <v>43.996884735202492</v>
      </c>
      <c r="D18" s="40">
        <f t="shared" si="5"/>
        <v>43.996884735202492</v>
      </c>
      <c r="E18" s="40">
        <f t="shared" si="6"/>
        <v>43.996884735202492</v>
      </c>
      <c r="F18" s="40">
        <f t="shared" si="7"/>
        <v>43.996884735202492</v>
      </c>
      <c r="G18" s="40">
        <f t="shared" si="8"/>
        <v>43.996884735202492</v>
      </c>
      <c r="AM18" s="101" t="s">
        <v>233</v>
      </c>
    </row>
    <row r="19" spans="1:57" ht="21" x14ac:dyDescent="0.25">
      <c r="A19" s="9" t="s">
        <v>8</v>
      </c>
      <c r="B19" s="47" t="e">
        <f>+'3 Statement Model'!B23/#REF!*-1</f>
        <v>#REF!</v>
      </c>
      <c r="C19" s="40" t="e">
        <f t="shared" si="5"/>
        <v>#REF!</v>
      </c>
      <c r="D19" s="40" t="e">
        <f t="shared" si="5"/>
        <v>#REF!</v>
      </c>
      <c r="E19" s="40" t="e">
        <f t="shared" si="6"/>
        <v>#REF!</v>
      </c>
      <c r="F19" s="40" t="e">
        <f t="shared" ref="F19" si="9">AVERAGE(C19:E19)</f>
        <v>#REF!</v>
      </c>
      <c r="G19" s="40" t="e">
        <f t="shared" ref="G19" si="10">AVERAGE(D19:F19)</f>
        <v>#REF!</v>
      </c>
      <c r="K19" t="s">
        <v>171</v>
      </c>
      <c r="M19">
        <v>17100</v>
      </c>
      <c r="N19">
        <v>13300</v>
      </c>
      <c r="O19">
        <v>10700</v>
      </c>
      <c r="P19">
        <v>6800</v>
      </c>
      <c r="AM19" s="101" t="s">
        <v>234</v>
      </c>
    </row>
    <row r="20" spans="1:57" ht="21" x14ac:dyDescent="0.25">
      <c r="A20" s="9" t="s">
        <v>9</v>
      </c>
      <c r="B20" s="47" t="e">
        <f>+'3 Statement Model'!B23/#REF!*-1</f>
        <v>#REF!</v>
      </c>
      <c r="C20" s="40" t="e">
        <f t="shared" si="5"/>
        <v>#REF!</v>
      </c>
      <c r="D20" s="40" t="e">
        <f t="shared" si="5"/>
        <v>#REF!</v>
      </c>
      <c r="E20" s="40" t="e">
        <f t="shared" si="6"/>
        <v>#REF!</v>
      </c>
      <c r="F20" s="40" t="e">
        <f t="shared" ref="F20" si="11">AVERAGE(C20:E20)</f>
        <v>#REF!</v>
      </c>
      <c r="G20" s="40" t="e">
        <f t="shared" ref="G20" si="12">AVERAGE(D20:F20)</f>
        <v>#REF!</v>
      </c>
      <c r="K20" t="s">
        <v>179</v>
      </c>
      <c r="M20">
        <v>97.1</v>
      </c>
      <c r="N20">
        <v>131.6</v>
      </c>
      <c r="O20">
        <v>23.9</v>
      </c>
      <c r="P20">
        <v>16.600000000000001</v>
      </c>
      <c r="AM20" s="101" t="s">
        <v>235</v>
      </c>
    </row>
    <row r="21" spans="1:57" ht="21" x14ac:dyDescent="0.25">
      <c r="A21" s="9" t="s">
        <v>10</v>
      </c>
      <c r="B21" s="16">
        <f>B45/B39</f>
        <v>0.16814159292035397</v>
      </c>
      <c r="C21" s="17">
        <f>AVERAGE(B21:B21)</f>
        <v>0.16814159292035397</v>
      </c>
      <c r="D21" s="17">
        <f t="shared" si="5"/>
        <v>0.16814159292035397</v>
      </c>
      <c r="E21" s="17">
        <f t="shared" si="6"/>
        <v>0.16814159292035397</v>
      </c>
      <c r="F21" s="17">
        <f t="shared" ref="F21:F22" si="13">AVERAGE(C21:E21)</f>
        <v>0.16814159292035394</v>
      </c>
      <c r="G21" s="17">
        <f t="shared" ref="G21:G22" si="14">AVERAGE(D21:F21)</f>
        <v>0.16814159292035394</v>
      </c>
      <c r="M21" s="74">
        <f>+M20/M19</f>
        <v>5.6783625730994144E-3</v>
      </c>
      <c r="N21" s="74">
        <f>+N20/N19</f>
        <v>9.8947368421052635E-3</v>
      </c>
      <c r="O21" s="74">
        <f t="shared" ref="O21:P21" si="15">+O20/O19</f>
        <v>2.2336448598130839E-3</v>
      </c>
      <c r="P21" s="74">
        <f t="shared" si="15"/>
        <v>2.4411764705882357E-3</v>
      </c>
      <c r="AM21" s="101" t="s">
        <v>236</v>
      </c>
    </row>
    <row r="22" spans="1:57" ht="15.75" x14ac:dyDescent="0.25">
      <c r="A22" s="9" t="s">
        <v>11</v>
      </c>
      <c r="B22" s="16">
        <f>+B60/B55</f>
        <v>0.4423076923076924</v>
      </c>
      <c r="C22" s="17">
        <f t="shared" si="5"/>
        <v>0.4423076923076924</v>
      </c>
      <c r="D22" s="17">
        <f t="shared" si="5"/>
        <v>0.4423076923076924</v>
      </c>
      <c r="E22" s="17">
        <f t="shared" si="6"/>
        <v>0.4423076923076924</v>
      </c>
      <c r="F22" s="17">
        <f t="shared" si="13"/>
        <v>0.44230769230769235</v>
      </c>
      <c r="G22" s="17">
        <f t="shared" si="14"/>
        <v>0.44230769230769235</v>
      </c>
      <c r="M22" s="62">
        <f>-SUM(N20-M20)/N20</f>
        <v>-0.2621580547112462</v>
      </c>
      <c r="N22" s="62">
        <f>-SUM(O20-N20)/O20</f>
        <v>4.506276150627615</v>
      </c>
      <c r="O22" s="62">
        <f>-SUM(P20-O20)/P20</f>
        <v>0.43975903614457812</v>
      </c>
    </row>
    <row r="23" spans="1:57" ht="21" x14ac:dyDescent="0.25">
      <c r="A23" s="9" t="s">
        <v>12</v>
      </c>
      <c r="B23" s="39">
        <f>SUM('3 Statement Model'!B$8)/Assumptions!B33</f>
        <v>24.351851851851851</v>
      </c>
      <c r="C23" s="40">
        <f>SUM('3 Statement Model'!C$8)/Assumptions!C33</f>
        <v>18.231563421828906</v>
      </c>
      <c r="D23" s="40">
        <f>SUM('3 Statement Model'!D$8)/Assumptions!D33</f>
        <v>18.920771575010384</v>
      </c>
      <c r="E23" s="40">
        <f>SUM('3 Statement Model'!E$8)/Assumptions!E33</f>
        <v>18.258189324967883</v>
      </c>
      <c r="F23" s="40">
        <f>SUM('3 Statement Model'!F$8)/Assumptions!F33</f>
        <v>18.880575335521019</v>
      </c>
      <c r="G23" s="40">
        <f>SUM('3 Statement Model'!G$8)/Assumptions!G33</f>
        <v>19.505146386653884</v>
      </c>
      <c r="K23" t="s">
        <v>172</v>
      </c>
      <c r="M23" s="75">
        <f>AVERAGE(M22:P22)/100</f>
        <v>1.5612923773536489E-2</v>
      </c>
      <c r="AL23" s="103">
        <v>5</v>
      </c>
      <c r="AM23" s="101" t="s">
        <v>237</v>
      </c>
    </row>
    <row r="24" spans="1:57" ht="15.75" x14ac:dyDescent="0.25">
      <c r="A24" s="9" t="s">
        <v>13</v>
      </c>
      <c r="B24" s="39">
        <f>+'3 Statement Model'!B8/Assumptions!B51</f>
        <v>77.352941176470594</v>
      </c>
      <c r="C24" s="40">
        <f>SUM('3 Statement Model'!C$8)/Assumptions!C51</f>
        <v>79.237179487179489</v>
      </c>
      <c r="D24" s="40">
        <f>SUM('3 Statement Model'!D$8)/Assumptions!D51</f>
        <v>60.283802350374074</v>
      </c>
      <c r="E24" s="40">
        <f>SUM('3 Statement Model'!E$8)/Assumptions!E51</f>
        <v>48.848201914957436</v>
      </c>
      <c r="F24" s="40">
        <f>SUM('3 Statement Model'!F$8)/Assumptions!F51</f>
        <v>40.87686725026694</v>
      </c>
      <c r="G24" s="40">
        <f>SUM('3 Statement Model'!G$8)/Assumptions!G51</f>
        <v>35.076299428224168</v>
      </c>
      <c r="K24" t="s">
        <v>173</v>
      </c>
      <c r="M24" s="62">
        <f>-SUM(N19-M19)/N19</f>
        <v>0.2857142857142857</v>
      </c>
      <c r="N24" s="62">
        <f>-SUM(O19-N19)/O19</f>
        <v>0.24299065420560748</v>
      </c>
      <c r="O24" s="62">
        <f>-SUM(P19-O19)/P19</f>
        <v>0.57352941176470584</v>
      </c>
    </row>
    <row r="25" spans="1:57" ht="21" x14ac:dyDescent="0.25">
      <c r="K25" t="s">
        <v>174</v>
      </c>
      <c r="M25" s="78">
        <f>AVERAGE(M24:O24)</f>
        <v>0.36741145056153296</v>
      </c>
      <c r="AL25" s="103">
        <v>6</v>
      </c>
      <c r="AM25" s="101" t="s">
        <v>238</v>
      </c>
    </row>
    <row r="26" spans="1:57" ht="15.75" x14ac:dyDescent="0.25">
      <c r="A26" s="9" t="s">
        <v>63</v>
      </c>
      <c r="B26" s="49" t="e">
        <f>+#REF!/#REF!</f>
        <v>#REF!</v>
      </c>
      <c r="C26" s="17" t="e">
        <f>AVERAGE(B26:B26)</f>
        <v>#REF!</v>
      </c>
      <c r="D26" s="17" t="e">
        <f>AVERAGE(C26:C26)</f>
        <v>#REF!</v>
      </c>
      <c r="E26" s="17" t="e">
        <f>AVERAGE(C26:D26)</f>
        <v>#REF!</v>
      </c>
      <c r="F26" s="17" t="e">
        <f t="shared" ref="F26:F27" si="16">AVERAGE(C26:E26)</f>
        <v>#REF!</v>
      </c>
      <c r="G26" s="17" t="e">
        <f t="shared" ref="G26:G27" si="17">AVERAGE(D26:F26)</f>
        <v>#REF!</v>
      </c>
    </row>
    <row r="27" spans="1:57" ht="21" x14ac:dyDescent="0.25">
      <c r="A27" s="9" t="s">
        <v>64</v>
      </c>
      <c r="B27" s="47" t="e">
        <f>+'3 Statement Model'!B23/#REF!*-1</f>
        <v>#REF!</v>
      </c>
      <c r="C27" s="40" t="e">
        <f>AVERAGE(B27:B27)</f>
        <v>#REF!</v>
      </c>
      <c r="D27" s="40" t="e">
        <f>AVERAGE(C27:C27)</f>
        <v>#REF!</v>
      </c>
      <c r="E27" s="40" t="e">
        <f>AVERAGE(C27:D27)</f>
        <v>#REF!</v>
      </c>
      <c r="F27" s="40" t="e">
        <f t="shared" si="16"/>
        <v>#REF!</v>
      </c>
      <c r="G27" s="40" t="e">
        <f t="shared" si="17"/>
        <v>#REF!</v>
      </c>
      <c r="J27">
        <f>188*0.67</f>
        <v>125.96000000000001</v>
      </c>
      <c r="AL27" s="103">
        <v>7</v>
      </c>
      <c r="AM27" s="101" t="s">
        <v>239</v>
      </c>
    </row>
    <row r="28" spans="1:57" ht="18.75" x14ac:dyDescent="0.3">
      <c r="A28" s="48" t="s">
        <v>65</v>
      </c>
      <c r="B28" s="16"/>
      <c r="C28" s="17"/>
      <c r="D28" s="17"/>
      <c r="E28" s="17"/>
      <c r="F28" s="17"/>
      <c r="G28" s="17"/>
      <c r="M28">
        <v>4654.8999999999996</v>
      </c>
      <c r="N28">
        <v>4039.9</v>
      </c>
      <c r="O28">
        <v>3804.5</v>
      </c>
      <c r="P28">
        <v>1192.4000000000001</v>
      </c>
      <c r="V28" s="78">
        <v>0.15</v>
      </c>
      <c r="W28" t="s">
        <v>219</v>
      </c>
      <c r="X28" t="s">
        <v>220</v>
      </c>
    </row>
    <row r="29" spans="1:57" ht="21" x14ac:dyDescent="0.25">
      <c r="J29">
        <f>198*0.67</f>
        <v>132.66</v>
      </c>
      <c r="P29" s="74" t="e">
        <f t="shared" ref="P29" si="18">+P28/P27</f>
        <v>#DIV/0!</v>
      </c>
      <c r="V29" s="78">
        <v>0.2</v>
      </c>
      <c r="W29" t="s">
        <v>219</v>
      </c>
      <c r="AL29" s="103">
        <v>8</v>
      </c>
      <c r="AM29" s="101" t="s">
        <v>240</v>
      </c>
    </row>
    <row r="30" spans="1:57" ht="21" x14ac:dyDescent="0.25">
      <c r="J30">
        <f>+J27-J29</f>
        <v>-6.6999999999999886</v>
      </c>
      <c r="M30" s="62">
        <f>SUM(N28-M28)/N28</f>
        <v>-0.15223149087848697</v>
      </c>
      <c r="N30" s="62">
        <f>SUM(O28-N28)/O28</f>
        <v>-6.1874096464712862E-2</v>
      </c>
      <c r="O30" s="62">
        <f>SUM(P28-O28)/P28</f>
        <v>-2.1906239516940622</v>
      </c>
      <c r="AM30" s="101" t="s">
        <v>241</v>
      </c>
    </row>
    <row r="31" spans="1:57" ht="18" x14ac:dyDescent="0.25">
      <c r="A31" s="19" t="s">
        <v>42</v>
      </c>
      <c r="B31" s="20"/>
      <c r="C31" s="20">
        <f>+'3 Statement Model'!C8-'3 Statement Model'!B8</f>
        <v>184.09999999999991</v>
      </c>
      <c r="D31" s="21">
        <f>+C31/C23</f>
        <v>10.097872340425528</v>
      </c>
      <c r="E31" s="21"/>
      <c r="F31" s="21"/>
      <c r="G31" s="21"/>
      <c r="J31">
        <f>+J30/J27</f>
        <v>-5.3191489361702031E-2</v>
      </c>
    </row>
    <row r="32" spans="1:57" ht="21" x14ac:dyDescent="0.25">
      <c r="A32" s="22" t="s">
        <v>43</v>
      </c>
      <c r="B32" s="23"/>
      <c r="C32" s="23"/>
      <c r="D32" s="23"/>
      <c r="E32" s="23"/>
      <c r="F32" s="23"/>
      <c r="G32" s="23"/>
      <c r="V32" s="98" t="s">
        <v>226</v>
      </c>
      <c r="W32" s="98" t="s">
        <v>225</v>
      </c>
      <c r="X32" s="98" t="s">
        <v>224</v>
      </c>
      <c r="AL32" s="103">
        <v>9</v>
      </c>
      <c r="AM32" s="101" t="s">
        <v>247</v>
      </c>
    </row>
    <row r="33" spans="1:39" ht="21" x14ac:dyDescent="0.25">
      <c r="A33" s="24" t="s">
        <v>44</v>
      </c>
      <c r="B33" s="25">
        <f>49.5-6.3</f>
        <v>43.2</v>
      </c>
      <c r="C33" s="26">
        <f>+B39</f>
        <v>67.800000000000011</v>
      </c>
      <c r="D33" s="26">
        <f t="shared" ref="D33:G33" si="19">+C39</f>
        <v>76.797872340425542</v>
      </c>
      <c r="E33" s="26">
        <f t="shared" si="19"/>
        <v>93.596808510638311</v>
      </c>
      <c r="F33" s="26">
        <f t="shared" si="19"/>
        <v>106.49521276595746</v>
      </c>
      <c r="G33" s="26">
        <f t="shared" si="19"/>
        <v>121.34388297872343</v>
      </c>
      <c r="V33" s="13">
        <f>+'3 Statement Model'!$B$8*(1+Assumptions!V28)</f>
        <v>1209.8</v>
      </c>
      <c r="W33" s="13">
        <f>+'3 Statement Model'!$B$8*(1+Assumptions!V29)</f>
        <v>1262.3999999999999</v>
      </c>
      <c r="X33" s="14">
        <f>AVERAGE(V33:W33)</f>
        <v>1236.0999999999999</v>
      </c>
      <c r="AM33" s="101" t="s">
        <v>248</v>
      </c>
    </row>
    <row r="34" spans="1:39" ht="18" x14ac:dyDescent="0.25">
      <c r="A34" s="24" t="s">
        <v>45</v>
      </c>
      <c r="B34" s="27">
        <v>25.7</v>
      </c>
      <c r="C34" s="26">
        <f>('3 Statement Model'!C8-'3 Statement Model'!B8)/C23</f>
        <v>10.097872340425528</v>
      </c>
      <c r="D34" s="26">
        <f>AVERAGE(B34:C34)</f>
        <v>17.898936170212764</v>
      </c>
      <c r="E34" s="26">
        <f>AVERAGE(C34:D34)</f>
        <v>13.998404255319146</v>
      </c>
      <c r="F34" s="26">
        <f t="shared" ref="F34:G34" si="20">AVERAGE(D34:E34)</f>
        <v>15.948670212765954</v>
      </c>
      <c r="G34" s="26">
        <f t="shared" si="20"/>
        <v>14.973537234042549</v>
      </c>
      <c r="V34" s="14">
        <f>+V33*(1+$V$28)</f>
        <v>1391.2699999999998</v>
      </c>
      <c r="W34" s="14">
        <f>+W33*(1+$V$29)</f>
        <v>1514.8799999999999</v>
      </c>
      <c r="X34" s="14">
        <f>AVERAGE(V34:W34)</f>
        <v>1453.0749999999998</v>
      </c>
    </row>
    <row r="35" spans="1:39" ht="18" x14ac:dyDescent="0.25">
      <c r="A35" s="24" t="s">
        <v>46</v>
      </c>
      <c r="B35" s="27"/>
      <c r="C35" s="26">
        <v>0</v>
      </c>
      <c r="D35" s="26">
        <v>0</v>
      </c>
      <c r="E35" s="26">
        <v>0</v>
      </c>
      <c r="F35" s="26">
        <v>0</v>
      </c>
      <c r="G35" s="26">
        <v>0</v>
      </c>
      <c r="M35">
        <v>347.6</v>
      </c>
      <c r="N35">
        <v>442.8</v>
      </c>
      <c r="O35">
        <v>250</v>
      </c>
      <c r="P35">
        <v>58</v>
      </c>
      <c r="Q35">
        <v>16</v>
      </c>
      <c r="V35" s="14">
        <f>+V34*(1+$V$28)</f>
        <v>1599.9604999999997</v>
      </c>
      <c r="W35" s="14">
        <f>+W34*(1+$V$29)</f>
        <v>1817.8559999999998</v>
      </c>
      <c r="X35" s="14">
        <f>AVERAGE(V35:W35)</f>
        <v>1708.9082499999997</v>
      </c>
    </row>
    <row r="36" spans="1:39" ht="18" x14ac:dyDescent="0.25">
      <c r="A36" s="24" t="s">
        <v>47</v>
      </c>
      <c r="B36" s="27">
        <v>-0.3</v>
      </c>
      <c r="C36" s="26">
        <f>+B36</f>
        <v>-0.3</v>
      </c>
      <c r="D36" s="26">
        <f t="shared" ref="D36:G37" si="21">+C36</f>
        <v>-0.3</v>
      </c>
      <c r="E36" s="26">
        <f t="shared" si="21"/>
        <v>-0.3</v>
      </c>
      <c r="F36" s="26">
        <f t="shared" si="21"/>
        <v>-0.3</v>
      </c>
      <c r="G36" s="26">
        <f t="shared" si="21"/>
        <v>-0.3</v>
      </c>
      <c r="M36" s="62">
        <f>SUM(N35-M35)/N35</f>
        <v>0.21499548328816617</v>
      </c>
      <c r="N36" s="62">
        <f>SUM(O35-N35)/O35</f>
        <v>-0.7712</v>
      </c>
      <c r="O36" s="62">
        <f>SUM(P35-O35)/P35</f>
        <v>-3.3103448275862069</v>
      </c>
      <c r="P36" s="62">
        <f>SUM(Q35-P35)/Q35</f>
        <v>-2.625</v>
      </c>
      <c r="V36" s="14">
        <f>+V35*(1+$V$28)</f>
        <v>1839.9545749999995</v>
      </c>
      <c r="W36" s="14">
        <f>+W35*(1+$V$29)</f>
        <v>2181.4271999999996</v>
      </c>
      <c r="X36" s="14">
        <f>AVERAGE(V36:W36)</f>
        <v>2010.6908874999995</v>
      </c>
    </row>
    <row r="37" spans="1:39" ht="18" x14ac:dyDescent="0.25">
      <c r="A37" s="24" t="s">
        <v>48</v>
      </c>
      <c r="B37" s="27">
        <v>-0.8</v>
      </c>
      <c r="C37" s="26">
        <f>+B37</f>
        <v>-0.8</v>
      </c>
      <c r="D37" s="26">
        <f t="shared" si="21"/>
        <v>-0.8</v>
      </c>
      <c r="E37" s="26">
        <f t="shared" si="21"/>
        <v>-0.8</v>
      </c>
      <c r="F37" s="26">
        <f t="shared" si="21"/>
        <v>-0.8</v>
      </c>
      <c r="G37" s="26">
        <f t="shared" si="21"/>
        <v>-0.8</v>
      </c>
      <c r="V37" s="14">
        <f>+V36*(1+$V$28)</f>
        <v>2115.9477612499991</v>
      </c>
      <c r="W37" s="14">
        <f>+W36*(1+$V$29)</f>
        <v>2617.7126399999993</v>
      </c>
      <c r="X37" s="14">
        <f>AVERAGE(V37:W37)</f>
        <v>2366.8302006249992</v>
      </c>
    </row>
    <row r="38" spans="1:39" ht="18" x14ac:dyDescent="0.25">
      <c r="A38" s="24" t="s">
        <v>49</v>
      </c>
      <c r="B38" s="27">
        <v>0</v>
      </c>
      <c r="C38" s="26">
        <v>0</v>
      </c>
      <c r="D38" s="26">
        <v>0</v>
      </c>
      <c r="E38" s="26">
        <v>0</v>
      </c>
      <c r="F38" s="26">
        <v>0</v>
      </c>
      <c r="G38" s="26">
        <v>0</v>
      </c>
      <c r="V38" t="s">
        <v>227</v>
      </c>
      <c r="W38" s="50">
        <f>+'3 Statement Model'!C6</f>
        <v>45658</v>
      </c>
      <c r="X38" s="50">
        <f>+'3 Statement Model'!D6</f>
        <v>46023</v>
      </c>
      <c r="Y38" s="50">
        <f>+'3 Statement Model'!E6</f>
        <v>46388</v>
      </c>
      <c r="Z38" s="50">
        <f>+'3 Statement Model'!F6</f>
        <v>46753</v>
      </c>
      <c r="AA38" s="50">
        <f>+'3 Statement Model'!G6</f>
        <v>47119</v>
      </c>
    </row>
    <row r="39" spans="1:39" ht="18" x14ac:dyDescent="0.25">
      <c r="A39" s="28" t="s">
        <v>50</v>
      </c>
      <c r="B39" s="29">
        <f>SUM(B33:B37)-B38</f>
        <v>67.800000000000011</v>
      </c>
      <c r="C39" s="30">
        <f>SUM(C33:C37)-C38</f>
        <v>76.797872340425542</v>
      </c>
      <c r="D39" s="30">
        <f t="shared" ref="D39:G39" si="22">SUM(D33:D37)-D38</f>
        <v>93.596808510638311</v>
      </c>
      <c r="E39" s="30">
        <f t="shared" si="22"/>
        <v>106.49521276595746</v>
      </c>
      <c r="F39" s="30">
        <f t="shared" si="22"/>
        <v>121.34388297872343</v>
      </c>
      <c r="G39" s="30">
        <f t="shared" si="22"/>
        <v>135.21742021276594</v>
      </c>
      <c r="V39" t="s">
        <v>67</v>
      </c>
      <c r="W39" s="14">
        <f>+INDEX($X$33:$X$37,COLUMN(A1))</f>
        <v>1236.0999999999999</v>
      </c>
      <c r="X39" s="14">
        <f>+INDEX($X$33:$X$37,COLUMN(B1))</f>
        <v>1453.0749999999998</v>
      </c>
      <c r="Y39" s="14">
        <f>+INDEX($X$33:$X$37,COLUMN(C1))</f>
        <v>1708.9082499999997</v>
      </c>
      <c r="Z39" s="14">
        <f>+INDEX($X$33:$X$37,COLUMN(D1))</f>
        <v>2010.6908874999995</v>
      </c>
      <c r="AA39" s="14">
        <f>+INDEX($X$33:$X$37,COLUMN(E1))</f>
        <v>2366.8302006249992</v>
      </c>
    </row>
    <row r="40" spans="1:39" ht="18" x14ac:dyDescent="0.25">
      <c r="A40" s="20" t="s">
        <v>51</v>
      </c>
      <c r="B40" s="31">
        <f>AVERAGE(B33,B39)</f>
        <v>55.500000000000007</v>
      </c>
      <c r="C40" s="32">
        <f>AVERAGE(C33,C39)</f>
        <v>72.298936170212784</v>
      </c>
      <c r="D40" s="32">
        <f t="shared" ref="D40:G40" si="23">AVERAGE(D33,D39)</f>
        <v>85.197340425531934</v>
      </c>
      <c r="E40" s="32">
        <f t="shared" si="23"/>
        <v>100.04601063829789</v>
      </c>
      <c r="F40" s="32">
        <f t="shared" si="23"/>
        <v>113.91954787234044</v>
      </c>
      <c r="G40" s="32">
        <f t="shared" si="23"/>
        <v>128.2806515957447</v>
      </c>
    </row>
    <row r="42" spans="1:39" ht="18" x14ac:dyDescent="0.25">
      <c r="A42" s="19" t="s">
        <v>20</v>
      </c>
      <c r="B42" s="33"/>
      <c r="C42" s="33"/>
      <c r="D42" s="33"/>
      <c r="E42" s="33"/>
      <c r="F42" s="33"/>
      <c r="G42" s="33"/>
    </row>
    <row r="43" spans="1:39" ht="18" x14ac:dyDescent="0.25">
      <c r="A43" s="24" t="s">
        <v>52</v>
      </c>
      <c r="B43" s="25">
        <f>28.4-6.3</f>
        <v>22.099999999999998</v>
      </c>
      <c r="C43" s="26">
        <f>+B47</f>
        <v>33.5</v>
      </c>
      <c r="D43" s="26">
        <f t="shared" ref="D43:G43" si="24">C47</f>
        <v>45.656458294106571</v>
      </c>
      <c r="E43" s="26">
        <f t="shared" si="24"/>
        <v>59.981674825833181</v>
      </c>
      <c r="F43" s="26">
        <f t="shared" si="24"/>
        <v>76.803570419883272</v>
      </c>
      <c r="G43" s="26">
        <f t="shared" si="24"/>
        <v>95.958184663905115</v>
      </c>
      <c r="I43" s="14"/>
    </row>
    <row r="44" spans="1:39" ht="36" x14ac:dyDescent="0.25">
      <c r="A44" s="34" t="s">
        <v>53</v>
      </c>
      <c r="B44" s="25">
        <v>0</v>
      </c>
      <c r="C44" s="35">
        <v>0</v>
      </c>
      <c r="D44" s="35">
        <v>0</v>
      </c>
      <c r="E44" s="35">
        <v>0</v>
      </c>
      <c r="F44" s="35">
        <v>0</v>
      </c>
      <c r="G44" s="35">
        <v>0</v>
      </c>
    </row>
    <row r="45" spans="1:39" ht="18" x14ac:dyDescent="0.25">
      <c r="A45" s="34" t="s">
        <v>54</v>
      </c>
      <c r="B45" s="25">
        <v>11.4</v>
      </c>
      <c r="C45" s="26">
        <f>C21*C40</f>
        <v>12.156458294106573</v>
      </c>
      <c r="D45" s="26">
        <f>D21*D40</f>
        <v>14.325216531726607</v>
      </c>
      <c r="E45" s="26">
        <f>E21*E40</f>
        <v>16.821895594050087</v>
      </c>
      <c r="F45" s="26">
        <f>F21*F40</f>
        <v>19.15461424402184</v>
      </c>
      <c r="G45" s="26">
        <f>G21*G40</f>
        <v>21.569313100169456</v>
      </c>
    </row>
    <row r="46" spans="1:39" ht="18" x14ac:dyDescent="0.25">
      <c r="A46" s="36" t="s">
        <v>49</v>
      </c>
      <c r="B46" s="25">
        <v>0</v>
      </c>
      <c r="C46" s="35">
        <v>0</v>
      </c>
      <c r="D46" s="35">
        <v>0</v>
      </c>
      <c r="E46" s="35">
        <v>0</v>
      </c>
      <c r="F46" s="35">
        <v>0</v>
      </c>
      <c r="G46" s="35">
        <v>0</v>
      </c>
    </row>
    <row r="47" spans="1:39" ht="18" x14ac:dyDescent="0.25">
      <c r="A47" s="28" t="s">
        <v>55</v>
      </c>
      <c r="B47" s="37">
        <f>SUM(B43:B45)-B46</f>
        <v>33.5</v>
      </c>
      <c r="C47" s="38">
        <f>SUM(C43:C45)-C46</f>
        <v>45.656458294106571</v>
      </c>
      <c r="D47" s="38">
        <f t="shared" ref="D47:G47" si="25">SUM(D43:D45)-D46</f>
        <v>59.981674825833181</v>
      </c>
      <c r="E47" s="38">
        <f t="shared" si="25"/>
        <v>76.803570419883272</v>
      </c>
      <c r="F47" s="38">
        <f t="shared" si="25"/>
        <v>95.958184663905115</v>
      </c>
      <c r="G47" s="38">
        <f t="shared" si="25"/>
        <v>117.52749776407457</v>
      </c>
    </row>
    <row r="48" spans="1:39" ht="18" x14ac:dyDescent="0.25">
      <c r="A48" s="28" t="s">
        <v>56</v>
      </c>
      <c r="B48" s="37">
        <f>B39-B47</f>
        <v>34.300000000000011</v>
      </c>
      <c r="C48" s="38">
        <f>C39-C47</f>
        <v>31.141414046318971</v>
      </c>
      <c r="D48" s="38">
        <f t="shared" ref="D48:G48" si="26">D39-D47</f>
        <v>33.61513368480513</v>
      </c>
      <c r="E48" s="38">
        <f t="shared" si="26"/>
        <v>29.69164234607419</v>
      </c>
      <c r="F48" s="38">
        <f t="shared" si="26"/>
        <v>25.385698314818313</v>
      </c>
      <c r="G48" s="38">
        <f t="shared" si="26"/>
        <v>17.689922448691377</v>
      </c>
    </row>
    <row r="50" spans="1:7" ht="18" x14ac:dyDescent="0.25">
      <c r="A50" s="41" t="s">
        <v>57</v>
      </c>
      <c r="B50" s="33"/>
      <c r="C50" s="33"/>
      <c r="D50" s="33"/>
      <c r="E50" s="33"/>
      <c r="F50" s="33"/>
      <c r="G50" s="33"/>
    </row>
    <row r="51" spans="1:7" ht="18" x14ac:dyDescent="0.25">
      <c r="A51" s="42" t="s">
        <v>44</v>
      </c>
      <c r="B51" s="25">
        <f>33.3-19.7</f>
        <v>13.599999999999998</v>
      </c>
      <c r="C51" s="26">
        <f>+B55</f>
        <v>15.599999999999998</v>
      </c>
      <c r="D51" s="26">
        <f t="shared" ref="D51:G51" si="27">+C55</f>
        <v>24.103904255319144</v>
      </c>
      <c r="E51" s="26">
        <f t="shared" si="27"/>
        <v>34.984056382978714</v>
      </c>
      <c r="F51" s="26">
        <f t="shared" si="27"/>
        <v>49.188967324468067</v>
      </c>
      <c r="G51" s="26">
        <f t="shared" si="27"/>
        <v>67.476622084042532</v>
      </c>
    </row>
    <row r="52" spans="1:7" ht="18" x14ac:dyDescent="0.25">
      <c r="A52" s="43" t="s">
        <v>143</v>
      </c>
      <c r="B52" s="27">
        <v>2</v>
      </c>
      <c r="C52" s="26">
        <f>('3 Statement Model'!C8-'3 Statement Model'!B8)/C24</f>
        <v>2.3234042553191476</v>
      </c>
      <c r="D52" s="26">
        <f>AVERAGE(B52:C52)</f>
        <v>2.1617021276595736</v>
      </c>
      <c r="E52" s="26">
        <f t="shared" ref="E52:G52" si="28">AVERAGE(C52:D52)</f>
        <v>2.2425531914893604</v>
      </c>
      <c r="F52" s="26">
        <f t="shared" si="28"/>
        <v>2.202127659574467</v>
      </c>
      <c r="G52" s="26">
        <f t="shared" si="28"/>
        <v>2.2223404255319137</v>
      </c>
    </row>
    <row r="53" spans="1:7" ht="18" x14ac:dyDescent="0.25">
      <c r="A53" s="43" t="s">
        <v>144</v>
      </c>
      <c r="B53" s="27">
        <v>0</v>
      </c>
      <c r="C53" s="26">
        <f>+'3 Statement Model'!C8*0.005</f>
        <v>6.1804999999999994</v>
      </c>
      <c r="D53" s="26">
        <f>+'3 Statement Model'!D8*0.006</f>
        <v>8.7184499999999989</v>
      </c>
      <c r="E53" s="26">
        <f>+'3 Statement Model'!E8*0.007</f>
        <v>11.962357749999999</v>
      </c>
      <c r="F53" s="26">
        <f>+'3 Statement Model'!F8*0.008</f>
        <v>16.085527099999997</v>
      </c>
      <c r="G53" s="26">
        <f>+'3 Statement Model'!G8*0.009</f>
        <v>21.301471805624992</v>
      </c>
    </row>
    <row r="54" spans="1:7" ht="18" x14ac:dyDescent="0.25">
      <c r="A54" s="36" t="s">
        <v>49</v>
      </c>
      <c r="B54" s="27"/>
      <c r="C54" s="26">
        <v>0</v>
      </c>
      <c r="D54" s="26">
        <v>0</v>
      </c>
      <c r="E54" s="26">
        <v>0</v>
      </c>
      <c r="F54" s="26">
        <v>0</v>
      </c>
      <c r="G54" s="26">
        <v>0</v>
      </c>
    </row>
    <row r="55" spans="1:7" ht="18" x14ac:dyDescent="0.25">
      <c r="A55" s="28" t="s">
        <v>50</v>
      </c>
      <c r="B55" s="37">
        <f>SUM(B51:B54)</f>
        <v>15.599999999999998</v>
      </c>
      <c r="C55" s="44">
        <f>SUM(C51:C53)-C54</f>
        <v>24.103904255319144</v>
      </c>
      <c r="D55" s="44">
        <f t="shared" ref="D55:G55" si="29">SUM(D51:D53)-D54</f>
        <v>34.984056382978714</v>
      </c>
      <c r="E55" s="44">
        <f t="shared" si="29"/>
        <v>49.188967324468067</v>
      </c>
      <c r="F55" s="44">
        <f t="shared" si="29"/>
        <v>67.476622084042532</v>
      </c>
      <c r="G55" s="44">
        <f t="shared" si="29"/>
        <v>91.000434315199442</v>
      </c>
    </row>
    <row r="56" spans="1:7" ht="18" x14ac:dyDescent="0.25">
      <c r="A56" s="45" t="s">
        <v>58</v>
      </c>
      <c r="B56" s="46">
        <f>AVERAGE(B51,B55)</f>
        <v>14.599999999999998</v>
      </c>
      <c r="C56" s="46">
        <f t="shared" ref="C56:G56" si="30">AVERAGE(C51,C55)</f>
        <v>19.851952127659573</v>
      </c>
      <c r="D56" s="46">
        <f t="shared" si="30"/>
        <v>29.543980319148929</v>
      </c>
      <c r="E56" s="46">
        <f t="shared" si="30"/>
        <v>42.086511853723394</v>
      </c>
      <c r="F56" s="46">
        <f t="shared" si="30"/>
        <v>58.332794704255299</v>
      </c>
      <c r="G56" s="46">
        <f t="shared" si="30"/>
        <v>79.238528199620987</v>
      </c>
    </row>
    <row r="57" spans="1:7" ht="18" x14ac:dyDescent="0.25">
      <c r="A57" s="41" t="s">
        <v>59</v>
      </c>
      <c r="B57" s="33"/>
      <c r="C57" s="33"/>
      <c r="D57" s="33"/>
      <c r="E57" s="33"/>
      <c r="F57" s="33"/>
      <c r="G57" s="33"/>
    </row>
    <row r="58" spans="1:7" ht="18" x14ac:dyDescent="0.25">
      <c r="A58" s="42" t="s">
        <v>60</v>
      </c>
      <c r="B58" s="25">
        <f>21.9-19.7</f>
        <v>2.1999999999999993</v>
      </c>
      <c r="C58" s="26">
        <f>+B62</f>
        <v>9.1</v>
      </c>
      <c r="D58" s="26">
        <f t="shared" ref="D58:G58" si="31">C62</f>
        <v>17.880671133387889</v>
      </c>
      <c r="E58" s="26">
        <f t="shared" si="31"/>
        <v>28.6430759457321</v>
      </c>
      <c r="F58" s="26">
        <f t="shared" si="31"/>
        <v>41.590461827767086</v>
      </c>
      <c r="G58" s="26">
        <f t="shared" si="31"/>
        <v>56.944661025151589</v>
      </c>
    </row>
    <row r="59" spans="1:7" ht="36" x14ac:dyDescent="0.25">
      <c r="A59" s="34" t="s">
        <v>61</v>
      </c>
      <c r="B59" s="27"/>
      <c r="C59" s="26">
        <v>0</v>
      </c>
      <c r="D59" s="26">
        <v>0</v>
      </c>
      <c r="E59" s="26">
        <v>0</v>
      </c>
      <c r="F59" s="26">
        <v>0</v>
      </c>
      <c r="G59" s="26">
        <v>0</v>
      </c>
    </row>
    <row r="60" spans="1:7" ht="18" x14ac:dyDescent="0.25">
      <c r="A60" s="34" t="s">
        <v>62</v>
      </c>
      <c r="B60" s="27">
        <v>6.9</v>
      </c>
      <c r="C60" s="26">
        <f>SUM(B60/B55)*C56</f>
        <v>8.7806711333878891</v>
      </c>
      <c r="D60" s="26">
        <f>SUM(C60/C55)*D56</f>
        <v>10.762404812344213</v>
      </c>
      <c r="E60" s="26">
        <f>SUM(D60/D55)*E56</f>
        <v>12.947385882034984</v>
      </c>
      <c r="F60" s="26">
        <f>SUM(E60/E55)*F56</f>
        <v>15.354199197384505</v>
      </c>
      <c r="G60" s="26">
        <f>SUM(F60/F55)*G56</f>
        <v>18.03060242952311</v>
      </c>
    </row>
    <row r="61" spans="1:7" ht="18" x14ac:dyDescent="0.25">
      <c r="A61" s="36" t="s">
        <v>49</v>
      </c>
      <c r="B61" s="27"/>
      <c r="C61" s="26">
        <v>0</v>
      </c>
      <c r="D61" s="26">
        <v>0</v>
      </c>
      <c r="E61" s="26">
        <v>0</v>
      </c>
      <c r="F61" s="26">
        <v>0</v>
      </c>
      <c r="G61" s="26">
        <v>0</v>
      </c>
    </row>
    <row r="62" spans="1:7" ht="18" x14ac:dyDescent="0.25">
      <c r="A62" s="28" t="s">
        <v>55</v>
      </c>
      <c r="B62" s="31">
        <f>SUM(B58:B61)</f>
        <v>9.1</v>
      </c>
      <c r="C62" s="44">
        <f>SUM(C58:C60)-C61</f>
        <v>17.880671133387889</v>
      </c>
      <c r="D62" s="44">
        <f t="shared" ref="D62:G62" si="32">SUM(D58:D60)-D61</f>
        <v>28.6430759457321</v>
      </c>
      <c r="E62" s="44">
        <f t="shared" si="32"/>
        <v>41.590461827767086</v>
      </c>
      <c r="F62" s="44">
        <f t="shared" si="32"/>
        <v>56.944661025151589</v>
      </c>
      <c r="G62" s="44">
        <f t="shared" si="32"/>
        <v>74.975263454674703</v>
      </c>
    </row>
    <row r="63" spans="1:7" ht="18" x14ac:dyDescent="0.25">
      <c r="A63" s="28" t="s">
        <v>56</v>
      </c>
      <c r="B63" s="37">
        <f>B55-B62</f>
        <v>6.4999999999999982</v>
      </c>
      <c r="C63" s="38">
        <f>C55-C62</f>
        <v>6.2232331219312549</v>
      </c>
      <c r="D63" s="38">
        <f t="shared" ref="D63:G63" si="33">D55-D62</f>
        <v>6.3409804372466141</v>
      </c>
      <c r="E63" s="38">
        <f t="shared" si="33"/>
        <v>7.5985054967009802</v>
      </c>
      <c r="F63" s="38">
        <f t="shared" si="33"/>
        <v>10.531961058890943</v>
      </c>
      <c r="G63" s="38">
        <f t="shared" si="33"/>
        <v>16.025170860524739</v>
      </c>
    </row>
    <row r="66" spans="1:22" x14ac:dyDescent="0.25">
      <c r="B66" s="14"/>
      <c r="C66" s="14"/>
    </row>
    <row r="67" spans="1:22" ht="18" x14ac:dyDescent="0.25">
      <c r="A67" s="19" t="s">
        <v>145</v>
      </c>
      <c r="B67" s="6">
        <f t="shared" ref="B67:G67" si="34">+B6</f>
        <v>45292</v>
      </c>
      <c r="C67" s="6">
        <f t="shared" si="34"/>
        <v>45658</v>
      </c>
      <c r="D67" s="6">
        <f t="shared" si="34"/>
        <v>46023</v>
      </c>
      <c r="E67" s="6">
        <f t="shared" si="34"/>
        <v>46388</v>
      </c>
      <c r="F67" s="6">
        <f t="shared" si="34"/>
        <v>46753</v>
      </c>
      <c r="G67" s="6">
        <f t="shared" si="34"/>
        <v>47119</v>
      </c>
      <c r="I67" s="69" t="s">
        <v>147</v>
      </c>
      <c r="J67" s="69" t="s">
        <v>159</v>
      </c>
      <c r="M67" s="50">
        <f>+M6</f>
        <v>45658</v>
      </c>
      <c r="N67" s="50">
        <f>+N6</f>
        <v>45292</v>
      </c>
      <c r="O67" s="50">
        <f>+O6</f>
        <v>44927</v>
      </c>
      <c r="P67" s="50">
        <f>+P6</f>
        <v>44562</v>
      </c>
      <c r="Q67" s="50">
        <f>+Q6</f>
        <v>44197</v>
      </c>
      <c r="R67" s="91"/>
      <c r="S67" s="91"/>
      <c r="T67" s="91"/>
      <c r="U67" s="91"/>
      <c r="V67" s="91"/>
    </row>
    <row r="68" spans="1:22" x14ac:dyDescent="0.25">
      <c r="I68" s="70" t="s">
        <v>148</v>
      </c>
      <c r="J68" s="71">
        <v>0.36014545454545444</v>
      </c>
    </row>
    <row r="69" spans="1:22" x14ac:dyDescent="0.25">
      <c r="A69" t="s">
        <v>146</v>
      </c>
      <c r="B69">
        <v>202.7</v>
      </c>
      <c r="C69" s="14">
        <v>99.4</v>
      </c>
      <c r="D69" s="13">
        <f>AVERAGE(M69:O69)</f>
        <v>184</v>
      </c>
      <c r="E69" s="13">
        <f>AVERAGE(B69:D69)</f>
        <v>162.03333333333333</v>
      </c>
      <c r="F69" s="13">
        <f t="shared" ref="F69:G69" si="35">AVERAGE(C69:E69)</f>
        <v>148.47777777777776</v>
      </c>
      <c r="G69" s="13">
        <f t="shared" si="35"/>
        <v>164.83703703703702</v>
      </c>
      <c r="I69" s="70" t="s">
        <v>149</v>
      </c>
      <c r="J69" s="71">
        <v>0.25143373015873011</v>
      </c>
      <c r="M69">
        <v>99.4</v>
      </c>
      <c r="N69">
        <v>202.7</v>
      </c>
      <c r="O69">
        <v>249.9</v>
      </c>
    </row>
    <row r="70" spans="1:22" x14ac:dyDescent="0.25">
      <c r="A70" t="s">
        <v>160</v>
      </c>
      <c r="I70" s="70" t="s">
        <v>150</v>
      </c>
      <c r="J70" s="71">
        <v>0.55945177865612672</v>
      </c>
    </row>
    <row r="71" spans="1:22" x14ac:dyDescent="0.25">
      <c r="A71" s="73">
        <f>AVERAGE(J74:J76)/100</f>
        <v>3.6915231567044189E-2</v>
      </c>
      <c r="C71" s="14"/>
      <c r="D71" s="14"/>
      <c r="I71" s="70" t="s">
        <v>151</v>
      </c>
      <c r="J71" s="71">
        <v>0.70860316205533613</v>
      </c>
    </row>
    <row r="72" spans="1:22" x14ac:dyDescent="0.25">
      <c r="A72" s="73"/>
      <c r="C72" s="14"/>
      <c r="D72" s="14"/>
      <c r="I72" s="70" t="s">
        <v>152</v>
      </c>
      <c r="J72" s="71">
        <v>0.18877677165354337</v>
      </c>
      <c r="M72">
        <v>86.2</v>
      </c>
      <c r="N72">
        <v>21.5</v>
      </c>
      <c r="O72">
        <v>14.5</v>
      </c>
    </row>
    <row r="73" spans="1:22" x14ac:dyDescent="0.25">
      <c r="A73" s="73" t="s">
        <v>167</v>
      </c>
      <c r="B73">
        <v>21.5</v>
      </c>
      <c r="C73" s="14">
        <v>86.2</v>
      </c>
      <c r="D73" s="13">
        <f>AVERAGE(M72:O72)</f>
        <v>40.733333333333334</v>
      </c>
      <c r="E73" s="13">
        <f>AVERAGE(B73:D73)</f>
        <v>49.477777777777781</v>
      </c>
      <c r="F73" s="13">
        <f t="shared" ref="F73" si="36">AVERAGE(C73:E73)</f>
        <v>58.803703703703711</v>
      </c>
      <c r="G73" s="13">
        <f t="shared" ref="G73" si="37">AVERAGE(D73:F73)</f>
        <v>49.671604938271606</v>
      </c>
      <c r="I73" s="70" t="s">
        <v>153</v>
      </c>
      <c r="J73" s="71">
        <v>5.4694071146245034E-2</v>
      </c>
    </row>
    <row r="74" spans="1:22" x14ac:dyDescent="0.25">
      <c r="I74" s="70" t="s">
        <v>154</v>
      </c>
      <c r="J74" s="72">
        <v>1.4047743999999995</v>
      </c>
    </row>
    <row r="75" spans="1:22" x14ac:dyDescent="0.25">
      <c r="A75" t="s">
        <v>161</v>
      </c>
      <c r="I75" s="70" t="s">
        <v>155</v>
      </c>
      <c r="J75" s="72">
        <v>4.6136159362549831</v>
      </c>
    </row>
    <row r="76" spans="1:22" x14ac:dyDescent="0.25">
      <c r="A76" t="s">
        <v>163</v>
      </c>
      <c r="B76" s="13">
        <f>+B95</f>
        <v>572.92912000000024</v>
      </c>
      <c r="C76" s="13">
        <f>+C95</f>
        <v>747.17253192491967</v>
      </c>
      <c r="D76" s="13">
        <f t="shared" ref="D76:G76" si="38">+D95</f>
        <v>847.51127891302497</v>
      </c>
      <c r="E76" s="13">
        <f t="shared" si="38"/>
        <v>959.2323430186824</v>
      </c>
      <c r="F76" s="13">
        <f t="shared" si="38"/>
        <v>1082.452614172536</v>
      </c>
      <c r="G76" s="13">
        <f t="shared" si="38"/>
        <v>1225.5397189556634</v>
      </c>
      <c r="I76" s="70" t="s">
        <v>156</v>
      </c>
      <c r="J76" s="72">
        <v>5.0561791338582749</v>
      </c>
    </row>
    <row r="77" spans="1:22" x14ac:dyDescent="0.25">
      <c r="A77" t="s">
        <v>164</v>
      </c>
      <c r="B77" s="13">
        <f>+B69+B73</f>
        <v>224.2</v>
      </c>
      <c r="C77" s="13">
        <f t="shared" ref="C77:G77" si="39">+C69+C73</f>
        <v>185.60000000000002</v>
      </c>
      <c r="D77" s="13">
        <f t="shared" si="39"/>
        <v>224.73333333333335</v>
      </c>
      <c r="E77" s="13">
        <f t="shared" si="39"/>
        <v>211.51111111111112</v>
      </c>
      <c r="F77" s="13">
        <f t="shared" si="39"/>
        <v>207.28148148148148</v>
      </c>
      <c r="G77" s="13">
        <f t="shared" si="39"/>
        <v>214.50864197530862</v>
      </c>
      <c r="I77" s="70" t="s">
        <v>157</v>
      </c>
      <c r="J77" s="71">
        <v>4.215023320158104</v>
      </c>
    </row>
    <row r="78" spans="1:22" x14ac:dyDescent="0.25">
      <c r="A78" t="s">
        <v>165</v>
      </c>
      <c r="B78" s="14">
        <f>+B77/B76</f>
        <v>0.39132240302255872</v>
      </c>
      <c r="C78" s="14">
        <f t="shared" ref="C78:G78" si="40">+C77/C76</f>
        <v>0.24840313591540089</v>
      </c>
      <c r="D78" s="14">
        <f t="shared" si="40"/>
        <v>0.26516854574674797</v>
      </c>
      <c r="E78" s="14">
        <f t="shared" si="40"/>
        <v>0.22050039560331178</v>
      </c>
      <c r="F78" s="14">
        <f t="shared" si="40"/>
        <v>0.19149243003116084</v>
      </c>
      <c r="G78" s="14">
        <f t="shared" si="40"/>
        <v>0.17503197869270279</v>
      </c>
      <c r="I78" s="70" t="s">
        <v>158</v>
      </c>
      <c r="J78" s="71">
        <v>3.7247071428571425</v>
      </c>
    </row>
    <row r="79" spans="1:22" x14ac:dyDescent="0.25">
      <c r="A79" t="s">
        <v>166</v>
      </c>
      <c r="B79" s="74">
        <v>1.2500000000000001E-2</v>
      </c>
      <c r="C79" s="74">
        <v>1.2500000000000001E-2</v>
      </c>
      <c r="D79" s="74">
        <v>1.2500000000000001E-2</v>
      </c>
      <c r="E79" s="74">
        <v>1.2500000000000001E-2</v>
      </c>
      <c r="F79" s="74">
        <v>1.2500000000000001E-2</v>
      </c>
      <c r="G79" s="74">
        <v>1.2500000000000001E-2</v>
      </c>
    </row>
    <row r="81" spans="1:15" x14ac:dyDescent="0.25">
      <c r="A81" t="s">
        <v>189</v>
      </c>
      <c r="B81" s="75">
        <f>+$A$71+B79</f>
        <v>4.9415231567044193E-2</v>
      </c>
      <c r="C81" s="75">
        <f t="shared" ref="C81:G81" si="41">+$A$71+C79</f>
        <v>4.9415231567044193E-2</v>
      </c>
      <c r="D81" s="75">
        <f t="shared" si="41"/>
        <v>4.9415231567044193E-2</v>
      </c>
      <c r="E81" s="75">
        <f t="shared" si="41"/>
        <v>4.9415231567044193E-2</v>
      </c>
      <c r="F81" s="75">
        <f t="shared" si="41"/>
        <v>4.9415231567044193E-2</v>
      </c>
      <c r="G81" s="75">
        <f t="shared" si="41"/>
        <v>4.9415231567044193E-2</v>
      </c>
    </row>
    <row r="84" spans="1:15" x14ac:dyDescent="0.25">
      <c r="A84" t="s">
        <v>168</v>
      </c>
      <c r="B84" s="13">
        <f>-'3 Statement Model'!B19*0.1212</f>
        <v>72.429119999999998</v>
      </c>
      <c r="C84" s="14">
        <f>-M84</f>
        <v>58.4</v>
      </c>
      <c r="D84" s="13">
        <f>-AVERAGE(M84:O84)</f>
        <v>63.043039999999998</v>
      </c>
      <c r="E84" s="13">
        <f t="shared" ref="E84:G84" si="42">AVERAGE(B84:D84)</f>
        <v>64.624053333333322</v>
      </c>
      <c r="F84" s="13">
        <f t="shared" si="42"/>
        <v>62.022364444444442</v>
      </c>
      <c r="G84" s="13">
        <f t="shared" si="42"/>
        <v>63.229819259259251</v>
      </c>
      <c r="M84" s="13">
        <v>-58.4</v>
      </c>
      <c r="N84" s="13">
        <f>+'3 Statement Model'!B19*0.1212</f>
        <v>-72.429119999999998</v>
      </c>
      <c r="O84" s="13">
        <v>-58.3</v>
      </c>
    </row>
    <row r="91" spans="1:15" x14ac:dyDescent="0.25">
      <c r="A91" t="s">
        <v>76</v>
      </c>
      <c r="B91" s="13">
        <f>+'3 Statement Model'!B23</f>
        <v>501.9000000000002</v>
      </c>
      <c r="C91" s="13">
        <f>+'3 Statement Model'!C23</f>
        <v>687.53540249742525</v>
      </c>
      <c r="D91" s="13">
        <f>+'3 Statement Model'!D23</f>
        <v>779.08061756895415</v>
      </c>
      <c r="E91" s="13">
        <f>+'3 Statement Model'!E23</f>
        <v>884.53900820926401</v>
      </c>
      <c r="F91" s="13">
        <f>+'3 Statement Model'!F23</f>
        <v>1005.6214362866851</v>
      </c>
      <c r="G91" s="13">
        <f>+'3 Statement Model'!G23</f>
        <v>1142.4099841667116</v>
      </c>
    </row>
    <row r="92" spans="1:15" x14ac:dyDescent="0.25">
      <c r="A92" t="s">
        <v>169</v>
      </c>
      <c r="B92" s="13">
        <f>-'3 Statement Model'!B21</f>
        <v>-19.7</v>
      </c>
      <c r="C92" s="13">
        <f>-'3 Statement Model'!C21</f>
        <v>-19.7</v>
      </c>
      <c r="D92" s="13">
        <f>-'3 Statement Model'!D21</f>
        <v>-19.7</v>
      </c>
      <c r="E92" s="13">
        <f>-'3 Statement Model'!E21</f>
        <v>-19.7</v>
      </c>
      <c r="F92" s="13">
        <f>-'3 Statement Model'!F21</f>
        <v>-19.7</v>
      </c>
      <c r="G92" s="13">
        <f>-'3 Statement Model'!G21</f>
        <v>-19.7</v>
      </c>
    </row>
    <row r="93" spans="1:15" x14ac:dyDescent="0.25">
      <c r="A93" t="s">
        <v>141</v>
      </c>
      <c r="B93" s="13">
        <f>-'3 Statement Model'!B20</f>
        <v>18.3</v>
      </c>
      <c r="C93" s="13">
        <f>-'3 Statement Model'!C20</f>
        <v>20.937129427494462</v>
      </c>
      <c r="D93" s="13">
        <f>-'3 Statement Model'!D20</f>
        <v>25.087621344070818</v>
      </c>
      <c r="E93" s="13">
        <f>-'3 Statement Model'!E20</f>
        <v>29.769281476085069</v>
      </c>
      <c r="F93" s="13">
        <f>-'3 Statement Model'!F20</f>
        <v>34.508813441406346</v>
      </c>
      <c r="G93" s="13">
        <f>-'3 Statement Model'!G20</f>
        <v>39.599915529692566</v>
      </c>
    </row>
    <row r="94" spans="1:15" x14ac:dyDescent="0.25">
      <c r="A94" t="s">
        <v>168</v>
      </c>
      <c r="B94" s="13">
        <f>+B84</f>
        <v>72.429119999999998</v>
      </c>
      <c r="C94" s="13">
        <f t="shared" ref="C94:G94" si="43">+C84</f>
        <v>58.4</v>
      </c>
      <c r="D94" s="13">
        <f t="shared" si="43"/>
        <v>63.043039999999998</v>
      </c>
      <c r="E94" s="13">
        <f t="shared" si="43"/>
        <v>64.624053333333322</v>
      </c>
      <c r="F94" s="13">
        <f t="shared" si="43"/>
        <v>62.022364444444442</v>
      </c>
      <c r="G94" s="13">
        <f t="shared" si="43"/>
        <v>63.229819259259251</v>
      </c>
    </row>
    <row r="95" spans="1:15" ht="15.75" thickBot="1" x14ac:dyDescent="0.3">
      <c r="A95" t="s">
        <v>162</v>
      </c>
      <c r="B95" s="76">
        <f>SUM(B91:B94)</f>
        <v>572.92912000000024</v>
      </c>
      <c r="C95" s="76">
        <f t="shared" ref="C95:G95" si="44">SUM(C91:C94)</f>
        <v>747.17253192491967</v>
      </c>
      <c r="D95" s="76">
        <f t="shared" si="44"/>
        <v>847.51127891302497</v>
      </c>
      <c r="E95" s="76">
        <f t="shared" si="44"/>
        <v>959.2323430186824</v>
      </c>
      <c r="F95" s="76">
        <f t="shared" si="44"/>
        <v>1082.452614172536</v>
      </c>
      <c r="G95" s="76">
        <f t="shared" si="44"/>
        <v>1225.5397189556634</v>
      </c>
    </row>
    <row r="98" spans="1:7" x14ac:dyDescent="0.25">
      <c r="B98" s="13">
        <f>+B69*B81</f>
        <v>10.016467438639857</v>
      </c>
      <c r="C98" s="13">
        <f>+C69*C81</f>
        <v>4.9118740177641929</v>
      </c>
      <c r="D98" s="13">
        <f t="shared" ref="D98:G98" si="45">+D69*D81</f>
        <v>9.0924026083361316</v>
      </c>
      <c r="E98" s="13">
        <f t="shared" si="45"/>
        <v>8.0069146882467273</v>
      </c>
      <c r="F98" s="13">
        <f t="shared" si="45"/>
        <v>7.3370637714490163</v>
      </c>
      <c r="G98" s="13">
        <f t="shared" si="45"/>
        <v>8.1454603560106253</v>
      </c>
    </row>
    <row r="103" spans="1:7" x14ac:dyDescent="0.25">
      <c r="A103" t="s">
        <v>180</v>
      </c>
    </row>
    <row r="104" spans="1:7" x14ac:dyDescent="0.25">
      <c r="A104" t="s">
        <v>181</v>
      </c>
      <c r="B104" s="62">
        <f>7.1/14.5</f>
        <v>0.48965517241379308</v>
      </c>
    </row>
    <row r="105" spans="1:7" x14ac:dyDescent="0.25">
      <c r="A105" t="s">
        <v>182</v>
      </c>
      <c r="B105" s="81">
        <f>5.9/17.2</f>
        <v>0.34302325581395354</v>
      </c>
    </row>
    <row r="106" spans="1:7" x14ac:dyDescent="0.25">
      <c r="A106" t="s">
        <v>183</v>
      </c>
      <c r="B106" s="82">
        <f>AVERAGE(B104:B105)</f>
        <v>0.41633921411387331</v>
      </c>
    </row>
    <row r="108" spans="1:7" x14ac:dyDescent="0.25">
      <c r="C108" s="13">
        <f>+C73*$B$106</f>
        <v>35.88844025661588</v>
      </c>
      <c r="D108" s="13">
        <f t="shared" ref="D108:G108" si="46">+D73*$B$106</f>
        <v>16.958883988238441</v>
      </c>
      <c r="E108" s="13">
        <f t="shared" si="46"/>
        <v>20.599539116100868</v>
      </c>
      <c r="F108" s="13">
        <f t="shared" si="46"/>
        <v>24.482287786985065</v>
      </c>
      <c r="G108" s="13">
        <f t="shared" si="46"/>
        <v>20.680236963774789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Valuation</vt:lpstr>
      <vt:lpstr>3 Statement Model</vt:lpstr>
      <vt:lpstr>Assumptions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Hemang Asher</dc:creator>
  <cp:lastModifiedBy>Hemang Asher</cp:lastModifiedBy>
  <dcterms:created xsi:type="dcterms:W3CDTF">2025-05-23T15:24:58Z</dcterms:created>
  <dcterms:modified xsi:type="dcterms:W3CDTF">2026-02-06T17:07:05Z</dcterms:modified>
</cp:coreProperties>
</file>